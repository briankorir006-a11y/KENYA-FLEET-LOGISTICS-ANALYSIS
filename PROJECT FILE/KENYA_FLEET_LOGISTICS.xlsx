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ba8f9a7b601c79e/Documentos/EXCEL DATA ANALYSIS PROJECT/"/>
    </mc:Choice>
  </mc:AlternateContent>
  <xr:revisionPtr revIDLastSave="2" documentId="8_{CA87C4F3-E8AE-4FFF-B7B4-29833746138A}" xr6:coauthVersionLast="47" xr6:coauthVersionMax="47" xr10:uidLastSave="{2425BFB5-8DAC-4FE2-B4E9-66CA97189AA9}"/>
  <bookViews>
    <workbookView xWindow="-120" yWindow="-120" windowWidth="20730" windowHeight="11040" tabRatio="500" firstSheet="3" activeTab="4" xr2:uid="{00000000-000D-0000-FFFF-FFFF00000000}"/>
  </bookViews>
  <sheets>
    <sheet name="Fleet Data" sheetId="2" r:id="rId1"/>
    <sheet name="Machinery Log" sheetId="3" r:id="rId2"/>
    <sheet name="Purchase Orders" sheetId="4" r:id="rId3"/>
    <sheet name="Delivery Tracker" sheetId="5" r:id="rId4"/>
    <sheet name="Charts &amp; Visuals" sheetId="6" r:id="rId5"/>
    <sheet name="Dashboard" sheetId="7" r:id="rId6"/>
    <sheet name="README" sheetId="1" r:id="rId7"/>
  </sheets>
  <definedNames>
    <definedName name="_xlnm._FilterDatabase" localSheetId="2" hidden="1">'Purchase Orders'!$A$1:$O$481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2" l="1"/>
  <c r="P9" i="6"/>
  <c r="Q20" i="6"/>
  <c r="J33" i="7"/>
  <c r="I33" i="7"/>
  <c r="H33" i="7"/>
  <c r="K33" i="7" s="1"/>
  <c r="E33" i="7"/>
  <c r="D33" i="7"/>
  <c r="J32" i="7"/>
  <c r="I32" i="7"/>
  <c r="H32" i="7"/>
  <c r="K32" i="7" s="1"/>
  <c r="E32" i="7"/>
  <c r="D32" i="7"/>
  <c r="J31" i="7"/>
  <c r="I31" i="7"/>
  <c r="H31" i="7"/>
  <c r="K31" i="7" s="1"/>
  <c r="E31" i="7"/>
  <c r="D31" i="7"/>
  <c r="J30" i="7"/>
  <c r="I30" i="7"/>
  <c r="H30" i="7"/>
  <c r="K30" i="7" s="1"/>
  <c r="E30" i="7"/>
  <c r="D30" i="7"/>
  <c r="J29" i="7"/>
  <c r="I29" i="7"/>
  <c r="H29" i="7"/>
  <c r="K29" i="7" s="1"/>
  <c r="E29" i="7"/>
  <c r="D29" i="7"/>
  <c r="J28" i="7"/>
  <c r="I28" i="7"/>
  <c r="H28" i="7"/>
  <c r="K28" i="7" s="1"/>
  <c r="E28" i="7"/>
  <c r="D28" i="7"/>
  <c r="J27" i="7"/>
  <c r="I27" i="7"/>
  <c r="H27" i="7"/>
  <c r="K27" i="7" s="1"/>
  <c r="E27" i="7"/>
  <c r="D27" i="7"/>
  <c r="J26" i="7"/>
  <c r="I26" i="7"/>
  <c r="H26" i="7"/>
  <c r="K26" i="7" s="1"/>
  <c r="E26" i="7"/>
  <c r="D26" i="7"/>
  <c r="J25" i="7"/>
  <c r="I25" i="7"/>
  <c r="H25" i="7"/>
  <c r="K25" i="7" s="1"/>
  <c r="E25" i="7"/>
  <c r="D25" i="7"/>
  <c r="J24" i="7"/>
  <c r="I24" i="7"/>
  <c r="H24" i="7"/>
  <c r="K24" i="7" s="1"/>
  <c r="E24" i="7"/>
  <c r="D24" i="7"/>
  <c r="E19" i="7"/>
  <c r="C19" i="7"/>
  <c r="E18" i="7"/>
  <c r="C18" i="7"/>
  <c r="E17" i="7"/>
  <c r="C17" i="7"/>
  <c r="E16" i="7"/>
  <c r="C16" i="7"/>
  <c r="E15" i="7"/>
  <c r="C15" i="7"/>
  <c r="I14" i="7"/>
  <c r="H14" i="7"/>
  <c r="J14" i="7" s="1"/>
  <c r="E14" i="7"/>
  <c r="C14" i="7"/>
  <c r="H13" i="7"/>
  <c r="J13" i="7" s="1"/>
  <c r="E13" i="7"/>
  <c r="C13" i="7"/>
  <c r="H12" i="7"/>
  <c r="J12" i="7" s="1"/>
  <c r="E12" i="7"/>
  <c r="C12" i="7"/>
  <c r="H11" i="7"/>
  <c r="J11" i="7" s="1"/>
  <c r="E11" i="7"/>
  <c r="C11" i="7"/>
  <c r="H10" i="7"/>
  <c r="J10" i="7" s="1"/>
  <c r="E10" i="7"/>
  <c r="C10" i="7"/>
  <c r="L5" i="7"/>
  <c r="J5" i="7"/>
  <c r="P63" i="6"/>
  <c r="P62" i="6"/>
  <c r="P61" i="6"/>
  <c r="P60" i="6"/>
  <c r="P59" i="6"/>
  <c r="Q55" i="6"/>
  <c r="P55" i="6"/>
  <c r="Q54" i="6"/>
  <c r="P54" i="6"/>
  <c r="Q53" i="6"/>
  <c r="P53" i="6"/>
  <c r="Q52" i="6"/>
  <c r="Q51" i="6"/>
  <c r="P51" i="6"/>
  <c r="Q50" i="6"/>
  <c r="Q49" i="6"/>
  <c r="P49" i="6"/>
  <c r="Q48" i="6"/>
  <c r="P48" i="6"/>
  <c r="Q47" i="6"/>
  <c r="P47" i="6"/>
  <c r="Q46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19" i="6"/>
  <c r="P15" i="6"/>
  <c r="P14" i="6"/>
  <c r="P13" i="6"/>
  <c r="P12" i="6"/>
  <c r="P11" i="6"/>
  <c r="P10" i="6"/>
  <c r="P8" i="6"/>
  <c r="P7" i="6"/>
  <c r="P6" i="6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I301" i="3"/>
  <c r="O301" i="3" s="1"/>
  <c r="I300" i="3"/>
  <c r="O300" i="3" s="1"/>
  <c r="I299" i="3"/>
  <c r="O299" i="3" s="1"/>
  <c r="I298" i="3"/>
  <c r="O298" i="3" s="1"/>
  <c r="I297" i="3"/>
  <c r="O297" i="3" s="1"/>
  <c r="I296" i="3"/>
  <c r="O296" i="3" s="1"/>
  <c r="I295" i="3"/>
  <c r="O295" i="3" s="1"/>
  <c r="I294" i="3"/>
  <c r="O294" i="3" s="1"/>
  <c r="I293" i="3"/>
  <c r="O293" i="3" s="1"/>
  <c r="I292" i="3"/>
  <c r="O292" i="3" s="1"/>
  <c r="I291" i="3"/>
  <c r="O291" i="3" s="1"/>
  <c r="I290" i="3"/>
  <c r="O290" i="3" s="1"/>
  <c r="I289" i="3"/>
  <c r="O289" i="3" s="1"/>
  <c r="I288" i="3"/>
  <c r="O288" i="3" s="1"/>
  <c r="I287" i="3"/>
  <c r="O287" i="3" s="1"/>
  <c r="I286" i="3"/>
  <c r="O286" i="3" s="1"/>
  <c r="I285" i="3"/>
  <c r="O285" i="3" s="1"/>
  <c r="I284" i="3"/>
  <c r="O284" i="3" s="1"/>
  <c r="I283" i="3"/>
  <c r="O283" i="3" s="1"/>
  <c r="I282" i="3"/>
  <c r="O282" i="3" s="1"/>
  <c r="I281" i="3"/>
  <c r="O281" i="3" s="1"/>
  <c r="I280" i="3"/>
  <c r="O280" i="3" s="1"/>
  <c r="I279" i="3"/>
  <c r="O279" i="3" s="1"/>
  <c r="I278" i="3"/>
  <c r="O278" i="3" s="1"/>
  <c r="I277" i="3"/>
  <c r="O277" i="3" s="1"/>
  <c r="I276" i="3"/>
  <c r="O276" i="3" s="1"/>
  <c r="I275" i="3"/>
  <c r="O275" i="3" s="1"/>
  <c r="I274" i="3"/>
  <c r="O274" i="3" s="1"/>
  <c r="I273" i="3"/>
  <c r="O273" i="3" s="1"/>
  <c r="I272" i="3"/>
  <c r="O272" i="3" s="1"/>
  <c r="I271" i="3"/>
  <c r="O271" i="3" s="1"/>
  <c r="I270" i="3"/>
  <c r="O270" i="3" s="1"/>
  <c r="I269" i="3"/>
  <c r="O269" i="3" s="1"/>
  <c r="I268" i="3"/>
  <c r="O268" i="3" s="1"/>
  <c r="I267" i="3"/>
  <c r="I266" i="3"/>
  <c r="O266" i="3" s="1"/>
  <c r="I265" i="3"/>
  <c r="O265" i="3" s="1"/>
  <c r="I264" i="3"/>
  <c r="O264" i="3" s="1"/>
  <c r="I263" i="3"/>
  <c r="O263" i="3" s="1"/>
  <c r="I262" i="3"/>
  <c r="O262" i="3" s="1"/>
  <c r="I261" i="3"/>
  <c r="O261" i="3" s="1"/>
  <c r="I260" i="3"/>
  <c r="O260" i="3" s="1"/>
  <c r="I259" i="3"/>
  <c r="O259" i="3" s="1"/>
  <c r="I258" i="3"/>
  <c r="O258" i="3" s="1"/>
  <c r="I257" i="3"/>
  <c r="O257" i="3" s="1"/>
  <c r="I256" i="3"/>
  <c r="O256" i="3" s="1"/>
  <c r="I255" i="3"/>
  <c r="O255" i="3" s="1"/>
  <c r="I254" i="3"/>
  <c r="I253" i="3"/>
  <c r="O253" i="3" s="1"/>
  <c r="I252" i="3"/>
  <c r="O252" i="3" s="1"/>
  <c r="I251" i="3"/>
  <c r="O251" i="3" s="1"/>
  <c r="I250" i="3"/>
  <c r="O250" i="3" s="1"/>
  <c r="I249" i="3"/>
  <c r="O249" i="3" s="1"/>
  <c r="I248" i="3"/>
  <c r="O248" i="3" s="1"/>
  <c r="I247" i="3"/>
  <c r="O247" i="3" s="1"/>
  <c r="I246" i="3"/>
  <c r="I245" i="3"/>
  <c r="O245" i="3" s="1"/>
  <c r="I244" i="3"/>
  <c r="O244" i="3" s="1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O231" i="3" s="1"/>
  <c r="I230" i="3"/>
  <c r="O230" i="3" s="1"/>
  <c r="I229" i="3"/>
  <c r="O229" i="3" s="1"/>
  <c r="I228" i="3"/>
  <c r="O228" i="3" s="1"/>
  <c r="I227" i="3"/>
  <c r="O227" i="3" s="1"/>
  <c r="I226" i="3"/>
  <c r="O226" i="3" s="1"/>
  <c r="I225" i="3"/>
  <c r="O225" i="3" s="1"/>
  <c r="I224" i="3"/>
  <c r="O224" i="3" s="1"/>
  <c r="I223" i="3"/>
  <c r="O223" i="3" s="1"/>
  <c r="I222" i="3"/>
  <c r="O222" i="3" s="1"/>
  <c r="I221" i="3"/>
  <c r="O221" i="3" s="1"/>
  <c r="I220" i="3"/>
  <c r="O220" i="3" s="1"/>
  <c r="I219" i="3"/>
  <c r="O219" i="3" s="1"/>
  <c r="I218" i="3"/>
  <c r="O218" i="3" s="1"/>
  <c r="I217" i="3"/>
  <c r="O217" i="3" s="1"/>
  <c r="I216" i="3"/>
  <c r="O216" i="3" s="1"/>
  <c r="I215" i="3"/>
  <c r="O215" i="3" s="1"/>
  <c r="I214" i="3"/>
  <c r="O214" i="3" s="1"/>
  <c r="I213" i="3"/>
  <c r="O213" i="3" s="1"/>
  <c r="I212" i="3"/>
  <c r="O212" i="3" s="1"/>
  <c r="I211" i="3"/>
  <c r="O211" i="3" s="1"/>
  <c r="I210" i="3"/>
  <c r="O210" i="3" s="1"/>
  <c r="I209" i="3"/>
  <c r="O209" i="3" s="1"/>
  <c r="I208" i="3"/>
  <c r="O208" i="3" s="1"/>
  <c r="I207" i="3"/>
  <c r="O207" i="3" s="1"/>
  <c r="I206" i="3"/>
  <c r="O206" i="3" s="1"/>
  <c r="I205" i="3"/>
  <c r="O205" i="3" s="1"/>
  <c r="I204" i="3"/>
  <c r="O204" i="3" s="1"/>
  <c r="I203" i="3"/>
  <c r="O203" i="3" s="1"/>
  <c r="I202" i="3"/>
  <c r="O202" i="3" s="1"/>
  <c r="I201" i="3"/>
  <c r="O201" i="3" s="1"/>
  <c r="I200" i="3"/>
  <c r="O200" i="3" s="1"/>
  <c r="I199" i="3"/>
  <c r="O199" i="3" s="1"/>
  <c r="I198" i="3"/>
  <c r="O198" i="3" s="1"/>
  <c r="I197" i="3"/>
  <c r="O197" i="3" s="1"/>
  <c r="I196" i="3"/>
  <c r="O196" i="3" s="1"/>
  <c r="I195" i="3"/>
  <c r="O195" i="3" s="1"/>
  <c r="I194" i="3"/>
  <c r="O194" i="3" s="1"/>
  <c r="I193" i="3"/>
  <c r="O193" i="3" s="1"/>
  <c r="I192" i="3"/>
  <c r="O192" i="3" s="1"/>
  <c r="I191" i="3"/>
  <c r="O191" i="3" s="1"/>
  <c r="I190" i="3"/>
  <c r="O190" i="3" s="1"/>
  <c r="I189" i="3"/>
  <c r="O189" i="3" s="1"/>
  <c r="I188" i="3"/>
  <c r="O188" i="3" s="1"/>
  <c r="I187" i="3"/>
  <c r="O187" i="3" s="1"/>
  <c r="I186" i="3"/>
  <c r="O186" i="3" s="1"/>
  <c r="I185" i="3"/>
  <c r="O185" i="3" s="1"/>
  <c r="I184" i="3"/>
  <c r="O184" i="3" s="1"/>
  <c r="I183" i="3"/>
  <c r="O183" i="3" s="1"/>
  <c r="I182" i="3"/>
  <c r="O182" i="3" s="1"/>
  <c r="I181" i="3"/>
  <c r="O181" i="3" s="1"/>
  <c r="I180" i="3"/>
  <c r="O180" i="3" s="1"/>
  <c r="I179" i="3"/>
  <c r="O179" i="3" s="1"/>
  <c r="I178" i="3"/>
  <c r="O178" i="3" s="1"/>
  <c r="I177" i="3"/>
  <c r="O177" i="3" s="1"/>
  <c r="I176" i="3"/>
  <c r="O176" i="3" s="1"/>
  <c r="I175" i="3"/>
  <c r="O175" i="3" s="1"/>
  <c r="I174" i="3"/>
  <c r="O174" i="3" s="1"/>
  <c r="I173" i="3"/>
  <c r="O173" i="3" s="1"/>
  <c r="I172" i="3"/>
  <c r="O172" i="3" s="1"/>
  <c r="I171" i="3"/>
  <c r="O171" i="3" s="1"/>
  <c r="I170" i="3"/>
  <c r="O170" i="3" s="1"/>
  <c r="I169" i="3"/>
  <c r="O169" i="3" s="1"/>
  <c r="I168" i="3"/>
  <c r="O168" i="3" s="1"/>
  <c r="I167" i="3"/>
  <c r="O167" i="3" s="1"/>
  <c r="I166" i="3"/>
  <c r="O166" i="3" s="1"/>
  <c r="I165" i="3"/>
  <c r="O165" i="3" s="1"/>
  <c r="I164" i="3"/>
  <c r="O164" i="3" s="1"/>
  <c r="I163" i="3"/>
  <c r="O163" i="3" s="1"/>
  <c r="I162" i="3"/>
  <c r="O162" i="3" s="1"/>
  <c r="I161" i="3"/>
  <c r="O161" i="3" s="1"/>
  <c r="I160" i="3"/>
  <c r="O160" i="3" s="1"/>
  <c r="I159" i="3"/>
  <c r="O159" i="3" s="1"/>
  <c r="I158" i="3"/>
  <c r="O158" i="3" s="1"/>
  <c r="I157" i="3"/>
  <c r="O157" i="3" s="1"/>
  <c r="I156" i="3"/>
  <c r="O156" i="3" s="1"/>
  <c r="I155" i="3"/>
  <c r="O155" i="3" s="1"/>
  <c r="I154" i="3"/>
  <c r="O154" i="3" s="1"/>
  <c r="I153" i="3"/>
  <c r="O153" i="3" s="1"/>
  <c r="I152" i="3"/>
  <c r="O152" i="3" s="1"/>
  <c r="I151" i="3"/>
  <c r="O151" i="3" s="1"/>
  <c r="I150" i="3"/>
  <c r="O150" i="3" s="1"/>
  <c r="I149" i="3"/>
  <c r="O149" i="3" s="1"/>
  <c r="I148" i="3"/>
  <c r="O148" i="3" s="1"/>
  <c r="I147" i="3"/>
  <c r="O147" i="3" s="1"/>
  <c r="I146" i="3"/>
  <c r="O146" i="3" s="1"/>
  <c r="I145" i="3"/>
  <c r="O145" i="3" s="1"/>
  <c r="I144" i="3"/>
  <c r="O144" i="3" s="1"/>
  <c r="I143" i="3"/>
  <c r="O143" i="3" s="1"/>
  <c r="I142" i="3"/>
  <c r="O142" i="3" s="1"/>
  <c r="I141" i="3"/>
  <c r="O141" i="3" s="1"/>
  <c r="I140" i="3"/>
  <c r="O140" i="3" s="1"/>
  <c r="I139" i="3"/>
  <c r="O139" i="3" s="1"/>
  <c r="I138" i="3"/>
  <c r="O138" i="3" s="1"/>
  <c r="I137" i="3"/>
  <c r="O137" i="3" s="1"/>
  <c r="I136" i="3"/>
  <c r="O136" i="3" s="1"/>
  <c r="I135" i="3"/>
  <c r="O135" i="3" s="1"/>
  <c r="I134" i="3"/>
  <c r="O134" i="3" s="1"/>
  <c r="I133" i="3"/>
  <c r="O133" i="3" s="1"/>
  <c r="I132" i="3"/>
  <c r="O132" i="3" s="1"/>
  <c r="I131" i="3"/>
  <c r="O131" i="3" s="1"/>
  <c r="I130" i="3"/>
  <c r="O130" i="3" s="1"/>
  <c r="I129" i="3"/>
  <c r="O129" i="3" s="1"/>
  <c r="I128" i="3"/>
  <c r="O128" i="3" s="1"/>
  <c r="I127" i="3"/>
  <c r="O127" i="3" s="1"/>
  <c r="I126" i="3"/>
  <c r="O126" i="3" s="1"/>
  <c r="I125" i="3"/>
  <c r="O125" i="3" s="1"/>
  <c r="I124" i="3"/>
  <c r="O124" i="3" s="1"/>
  <c r="I123" i="3"/>
  <c r="O123" i="3" s="1"/>
  <c r="I122" i="3"/>
  <c r="O122" i="3" s="1"/>
  <c r="I121" i="3"/>
  <c r="O121" i="3" s="1"/>
  <c r="I120" i="3"/>
  <c r="O120" i="3" s="1"/>
  <c r="I119" i="3"/>
  <c r="O119" i="3" s="1"/>
  <c r="I118" i="3"/>
  <c r="O118" i="3" s="1"/>
  <c r="I117" i="3"/>
  <c r="O117" i="3" s="1"/>
  <c r="I116" i="3"/>
  <c r="O116" i="3" s="1"/>
  <c r="I115" i="3"/>
  <c r="O115" i="3" s="1"/>
  <c r="I114" i="3"/>
  <c r="O114" i="3" s="1"/>
  <c r="I113" i="3"/>
  <c r="O113" i="3" s="1"/>
  <c r="I112" i="3"/>
  <c r="O112" i="3" s="1"/>
  <c r="I111" i="3"/>
  <c r="O111" i="3" s="1"/>
  <c r="I110" i="3"/>
  <c r="O110" i="3" s="1"/>
  <c r="I109" i="3"/>
  <c r="O109" i="3" s="1"/>
  <c r="I108" i="3"/>
  <c r="O108" i="3" s="1"/>
  <c r="I107" i="3"/>
  <c r="O107" i="3" s="1"/>
  <c r="I106" i="3"/>
  <c r="O106" i="3" s="1"/>
  <c r="I105" i="3"/>
  <c r="O105" i="3" s="1"/>
  <c r="I104" i="3"/>
  <c r="O104" i="3" s="1"/>
  <c r="I103" i="3"/>
  <c r="O103" i="3" s="1"/>
  <c r="I102" i="3"/>
  <c r="O102" i="3" s="1"/>
  <c r="I101" i="3"/>
  <c r="O101" i="3" s="1"/>
  <c r="I100" i="3"/>
  <c r="O100" i="3" s="1"/>
  <c r="I99" i="3"/>
  <c r="O99" i="3" s="1"/>
  <c r="I98" i="3"/>
  <c r="O98" i="3" s="1"/>
  <c r="I97" i="3"/>
  <c r="O97" i="3" s="1"/>
  <c r="I96" i="3"/>
  <c r="O96" i="3" s="1"/>
  <c r="I95" i="3"/>
  <c r="O95" i="3" s="1"/>
  <c r="I94" i="3"/>
  <c r="O94" i="3" s="1"/>
  <c r="I93" i="3"/>
  <c r="O93" i="3" s="1"/>
  <c r="I92" i="3"/>
  <c r="O92" i="3" s="1"/>
  <c r="I91" i="3"/>
  <c r="O91" i="3" s="1"/>
  <c r="I90" i="3"/>
  <c r="O90" i="3" s="1"/>
  <c r="I89" i="3"/>
  <c r="O89" i="3" s="1"/>
  <c r="I88" i="3"/>
  <c r="O88" i="3" s="1"/>
  <c r="I87" i="3"/>
  <c r="O87" i="3" s="1"/>
  <c r="I86" i="3"/>
  <c r="O86" i="3" s="1"/>
  <c r="I85" i="3"/>
  <c r="O85" i="3" s="1"/>
  <c r="I84" i="3"/>
  <c r="O84" i="3" s="1"/>
  <c r="I83" i="3"/>
  <c r="O83" i="3" s="1"/>
  <c r="I82" i="3"/>
  <c r="O82" i="3" s="1"/>
  <c r="I81" i="3"/>
  <c r="O81" i="3" s="1"/>
  <c r="I80" i="3"/>
  <c r="O80" i="3" s="1"/>
  <c r="I79" i="3"/>
  <c r="O79" i="3" s="1"/>
  <c r="I78" i="3"/>
  <c r="O78" i="3" s="1"/>
  <c r="I77" i="3"/>
  <c r="O77" i="3" s="1"/>
  <c r="I76" i="3"/>
  <c r="O76" i="3" s="1"/>
  <c r="I75" i="3"/>
  <c r="O75" i="3" s="1"/>
  <c r="I74" i="3"/>
  <c r="O74" i="3" s="1"/>
  <c r="I73" i="3"/>
  <c r="O73" i="3" s="1"/>
  <c r="I72" i="3"/>
  <c r="O72" i="3" s="1"/>
  <c r="I71" i="3"/>
  <c r="O71" i="3" s="1"/>
  <c r="I70" i="3"/>
  <c r="O70" i="3" s="1"/>
  <c r="I69" i="3"/>
  <c r="O69" i="3" s="1"/>
  <c r="I68" i="3"/>
  <c r="O68" i="3" s="1"/>
  <c r="I67" i="3"/>
  <c r="O67" i="3" s="1"/>
  <c r="I66" i="3"/>
  <c r="O66" i="3" s="1"/>
  <c r="I65" i="3"/>
  <c r="O65" i="3" s="1"/>
  <c r="I64" i="3"/>
  <c r="O64" i="3" s="1"/>
  <c r="I63" i="3"/>
  <c r="O63" i="3" s="1"/>
  <c r="I62" i="3"/>
  <c r="O62" i="3" s="1"/>
  <c r="I61" i="3"/>
  <c r="O61" i="3" s="1"/>
  <c r="I60" i="3"/>
  <c r="O60" i="3" s="1"/>
  <c r="I59" i="3"/>
  <c r="O59" i="3" s="1"/>
  <c r="I58" i="3"/>
  <c r="O58" i="3" s="1"/>
  <c r="I57" i="3"/>
  <c r="O57" i="3" s="1"/>
  <c r="I56" i="3"/>
  <c r="O56" i="3" s="1"/>
  <c r="I55" i="3"/>
  <c r="O55" i="3" s="1"/>
  <c r="I54" i="3"/>
  <c r="O54" i="3" s="1"/>
  <c r="I53" i="3"/>
  <c r="O53" i="3" s="1"/>
  <c r="I52" i="3"/>
  <c r="O52" i="3" s="1"/>
  <c r="I51" i="3"/>
  <c r="O51" i="3" s="1"/>
  <c r="I50" i="3"/>
  <c r="O50" i="3" s="1"/>
  <c r="I49" i="3"/>
  <c r="O49" i="3" s="1"/>
  <c r="I48" i="3"/>
  <c r="O48" i="3" s="1"/>
  <c r="I47" i="3"/>
  <c r="O47" i="3" s="1"/>
  <c r="I46" i="3"/>
  <c r="O46" i="3" s="1"/>
  <c r="I45" i="3"/>
  <c r="O45" i="3" s="1"/>
  <c r="I44" i="3"/>
  <c r="O44" i="3" s="1"/>
  <c r="I43" i="3"/>
  <c r="O43" i="3" s="1"/>
  <c r="I42" i="3"/>
  <c r="O42" i="3" s="1"/>
  <c r="I41" i="3"/>
  <c r="O41" i="3" s="1"/>
  <c r="I40" i="3"/>
  <c r="O40" i="3" s="1"/>
  <c r="I39" i="3"/>
  <c r="O39" i="3" s="1"/>
  <c r="I38" i="3"/>
  <c r="O38" i="3" s="1"/>
  <c r="I37" i="3"/>
  <c r="O37" i="3" s="1"/>
  <c r="I36" i="3"/>
  <c r="O36" i="3" s="1"/>
  <c r="I35" i="3"/>
  <c r="O35" i="3" s="1"/>
  <c r="I34" i="3"/>
  <c r="O34" i="3" s="1"/>
  <c r="I33" i="3"/>
  <c r="O33" i="3" s="1"/>
  <c r="I32" i="3"/>
  <c r="O32" i="3" s="1"/>
  <c r="I31" i="3"/>
  <c r="O31" i="3" s="1"/>
  <c r="I30" i="3"/>
  <c r="O30" i="3" s="1"/>
  <c r="I29" i="3"/>
  <c r="O29" i="3" s="1"/>
  <c r="I28" i="3"/>
  <c r="O28" i="3" s="1"/>
  <c r="I27" i="3"/>
  <c r="O27" i="3" s="1"/>
  <c r="I26" i="3"/>
  <c r="O26" i="3" s="1"/>
  <c r="I25" i="3"/>
  <c r="O25" i="3" s="1"/>
  <c r="I24" i="3"/>
  <c r="O24" i="3" s="1"/>
  <c r="I23" i="3"/>
  <c r="O23" i="3" s="1"/>
  <c r="I22" i="3"/>
  <c r="O22" i="3" s="1"/>
  <c r="I21" i="3"/>
  <c r="O21" i="3" s="1"/>
  <c r="I20" i="3"/>
  <c r="O20" i="3" s="1"/>
  <c r="I19" i="3"/>
  <c r="O19" i="3" s="1"/>
  <c r="I18" i="3"/>
  <c r="O18" i="3" s="1"/>
  <c r="I17" i="3"/>
  <c r="I16" i="3"/>
  <c r="O16" i="3" s="1"/>
  <c r="I15" i="3"/>
  <c r="O15" i="3" s="1"/>
  <c r="I14" i="3"/>
  <c r="O14" i="3" s="1"/>
  <c r="I13" i="3"/>
  <c r="O13" i="3" s="1"/>
  <c r="I12" i="3"/>
  <c r="O12" i="3" s="1"/>
  <c r="I11" i="3"/>
  <c r="O11" i="3" s="1"/>
  <c r="I10" i="3"/>
  <c r="I9" i="3"/>
  <c r="O9" i="3" s="1"/>
  <c r="I8" i="3"/>
  <c r="O8" i="3" s="1"/>
  <c r="I7" i="3"/>
  <c r="I6" i="3"/>
  <c r="O6" i="3" s="1"/>
  <c r="I5" i="3"/>
  <c r="O5" i="3" s="1"/>
  <c r="I4" i="3"/>
  <c r="O4" i="3" s="1"/>
  <c r="I3" i="3"/>
  <c r="O3" i="3" s="1"/>
  <c r="I2" i="3"/>
  <c r="O2" i="3" s="1"/>
  <c r="L201" i="2"/>
  <c r="O201" i="2" s="1"/>
  <c r="L200" i="2"/>
  <c r="O200" i="2" s="1"/>
  <c r="L199" i="2"/>
  <c r="O199" i="2" s="1"/>
  <c r="L198" i="2"/>
  <c r="O198" i="2" s="1"/>
  <c r="L197" i="2"/>
  <c r="O197" i="2" s="1"/>
  <c r="L196" i="2"/>
  <c r="O196" i="2" s="1"/>
  <c r="L195" i="2"/>
  <c r="O195" i="2" s="1"/>
  <c r="L194" i="2"/>
  <c r="O194" i="2" s="1"/>
  <c r="L193" i="2"/>
  <c r="O193" i="2" s="1"/>
  <c r="L192" i="2"/>
  <c r="O192" i="2" s="1"/>
  <c r="L191" i="2"/>
  <c r="O191" i="2" s="1"/>
  <c r="L190" i="2"/>
  <c r="O190" i="2" s="1"/>
  <c r="L189" i="2"/>
  <c r="O189" i="2" s="1"/>
  <c r="L188" i="2"/>
  <c r="O188" i="2" s="1"/>
  <c r="L187" i="2"/>
  <c r="O187" i="2" s="1"/>
  <c r="L186" i="2"/>
  <c r="O186" i="2" s="1"/>
  <c r="L185" i="2"/>
  <c r="O185" i="2" s="1"/>
  <c r="L184" i="2"/>
  <c r="O184" i="2" s="1"/>
  <c r="L183" i="2"/>
  <c r="O183" i="2" s="1"/>
  <c r="L182" i="2"/>
  <c r="O182" i="2" s="1"/>
  <c r="L181" i="2"/>
  <c r="O181" i="2" s="1"/>
  <c r="L180" i="2"/>
  <c r="O180" i="2" s="1"/>
  <c r="L179" i="2"/>
  <c r="O179" i="2" s="1"/>
  <c r="L178" i="2"/>
  <c r="O178" i="2" s="1"/>
  <c r="L177" i="2"/>
  <c r="O177" i="2" s="1"/>
  <c r="L176" i="2"/>
  <c r="O176" i="2" s="1"/>
  <c r="L175" i="2"/>
  <c r="O175" i="2" s="1"/>
  <c r="L174" i="2"/>
  <c r="O174" i="2" s="1"/>
  <c r="L173" i="2"/>
  <c r="O173" i="2" s="1"/>
  <c r="L172" i="2"/>
  <c r="O172" i="2" s="1"/>
  <c r="L171" i="2"/>
  <c r="O171" i="2" s="1"/>
  <c r="L170" i="2"/>
  <c r="O170" i="2" s="1"/>
  <c r="L169" i="2"/>
  <c r="O169" i="2" s="1"/>
  <c r="L168" i="2"/>
  <c r="O168" i="2" s="1"/>
  <c r="L167" i="2"/>
  <c r="O167" i="2" s="1"/>
  <c r="L166" i="2"/>
  <c r="O166" i="2" s="1"/>
  <c r="L165" i="2"/>
  <c r="O165" i="2" s="1"/>
  <c r="L164" i="2"/>
  <c r="O164" i="2" s="1"/>
  <c r="L163" i="2"/>
  <c r="O163" i="2" s="1"/>
  <c r="L162" i="2"/>
  <c r="O162" i="2" s="1"/>
  <c r="L161" i="2"/>
  <c r="O161" i="2" s="1"/>
  <c r="L160" i="2"/>
  <c r="O160" i="2" s="1"/>
  <c r="L159" i="2"/>
  <c r="O159" i="2" s="1"/>
  <c r="L158" i="2"/>
  <c r="O158" i="2" s="1"/>
  <c r="L157" i="2"/>
  <c r="O157" i="2" s="1"/>
  <c r="L156" i="2"/>
  <c r="O156" i="2" s="1"/>
  <c r="L155" i="2"/>
  <c r="O155" i="2" s="1"/>
  <c r="L154" i="2"/>
  <c r="O154" i="2" s="1"/>
  <c r="L153" i="2"/>
  <c r="O153" i="2" s="1"/>
  <c r="L152" i="2"/>
  <c r="O152" i="2" s="1"/>
  <c r="L151" i="2"/>
  <c r="O151" i="2" s="1"/>
  <c r="L150" i="2"/>
  <c r="O150" i="2" s="1"/>
  <c r="L149" i="2"/>
  <c r="O149" i="2" s="1"/>
  <c r="L148" i="2"/>
  <c r="O148" i="2" s="1"/>
  <c r="L147" i="2"/>
  <c r="O147" i="2" s="1"/>
  <c r="L146" i="2"/>
  <c r="O146" i="2" s="1"/>
  <c r="L145" i="2"/>
  <c r="O145" i="2" s="1"/>
  <c r="L144" i="2"/>
  <c r="O144" i="2" s="1"/>
  <c r="L143" i="2"/>
  <c r="O143" i="2" s="1"/>
  <c r="L142" i="2"/>
  <c r="O142" i="2" s="1"/>
  <c r="L141" i="2"/>
  <c r="O141" i="2" s="1"/>
  <c r="L140" i="2"/>
  <c r="O140" i="2" s="1"/>
  <c r="L139" i="2"/>
  <c r="O139" i="2" s="1"/>
  <c r="L138" i="2"/>
  <c r="O138" i="2" s="1"/>
  <c r="L137" i="2"/>
  <c r="O137" i="2" s="1"/>
  <c r="L136" i="2"/>
  <c r="O136" i="2" s="1"/>
  <c r="L135" i="2"/>
  <c r="O135" i="2" s="1"/>
  <c r="L134" i="2"/>
  <c r="O134" i="2" s="1"/>
  <c r="L133" i="2"/>
  <c r="O133" i="2" s="1"/>
  <c r="L132" i="2"/>
  <c r="O132" i="2" s="1"/>
  <c r="L131" i="2"/>
  <c r="O131" i="2" s="1"/>
  <c r="L130" i="2"/>
  <c r="O130" i="2" s="1"/>
  <c r="L129" i="2"/>
  <c r="O129" i="2" s="1"/>
  <c r="L128" i="2"/>
  <c r="O128" i="2" s="1"/>
  <c r="L127" i="2"/>
  <c r="O127" i="2" s="1"/>
  <c r="L126" i="2"/>
  <c r="O126" i="2" s="1"/>
  <c r="L125" i="2"/>
  <c r="O125" i="2" s="1"/>
  <c r="L124" i="2"/>
  <c r="O124" i="2" s="1"/>
  <c r="L123" i="2"/>
  <c r="O123" i="2" s="1"/>
  <c r="L122" i="2"/>
  <c r="O122" i="2" s="1"/>
  <c r="L121" i="2"/>
  <c r="O121" i="2" s="1"/>
  <c r="L120" i="2"/>
  <c r="O120" i="2" s="1"/>
  <c r="L119" i="2"/>
  <c r="O119" i="2" s="1"/>
  <c r="L118" i="2"/>
  <c r="O118" i="2" s="1"/>
  <c r="L117" i="2"/>
  <c r="O117" i="2" s="1"/>
  <c r="L116" i="2"/>
  <c r="O116" i="2" s="1"/>
  <c r="L115" i="2"/>
  <c r="O115" i="2" s="1"/>
  <c r="L114" i="2"/>
  <c r="O114" i="2" s="1"/>
  <c r="L113" i="2"/>
  <c r="O113" i="2" s="1"/>
  <c r="L112" i="2"/>
  <c r="O112" i="2" s="1"/>
  <c r="L111" i="2"/>
  <c r="O111" i="2" s="1"/>
  <c r="L110" i="2"/>
  <c r="O110" i="2" s="1"/>
  <c r="L109" i="2"/>
  <c r="O109" i="2" s="1"/>
  <c r="L108" i="2"/>
  <c r="O108" i="2" s="1"/>
  <c r="L107" i="2"/>
  <c r="O107" i="2" s="1"/>
  <c r="L106" i="2"/>
  <c r="O106" i="2" s="1"/>
  <c r="L105" i="2"/>
  <c r="O105" i="2" s="1"/>
  <c r="L104" i="2"/>
  <c r="O104" i="2" s="1"/>
  <c r="L103" i="2"/>
  <c r="O103" i="2" s="1"/>
  <c r="L102" i="2"/>
  <c r="O102" i="2" s="1"/>
  <c r="L101" i="2"/>
  <c r="O101" i="2" s="1"/>
  <c r="L100" i="2"/>
  <c r="O100" i="2" s="1"/>
  <c r="L99" i="2"/>
  <c r="O99" i="2" s="1"/>
  <c r="L98" i="2"/>
  <c r="O98" i="2" s="1"/>
  <c r="L97" i="2"/>
  <c r="O97" i="2" s="1"/>
  <c r="L96" i="2"/>
  <c r="O96" i="2" s="1"/>
  <c r="L95" i="2"/>
  <c r="O95" i="2" s="1"/>
  <c r="L94" i="2"/>
  <c r="O94" i="2" s="1"/>
  <c r="L93" i="2"/>
  <c r="O93" i="2" s="1"/>
  <c r="L92" i="2"/>
  <c r="O92" i="2" s="1"/>
  <c r="L91" i="2"/>
  <c r="O91" i="2" s="1"/>
  <c r="L90" i="2"/>
  <c r="O90" i="2" s="1"/>
  <c r="L89" i="2"/>
  <c r="O89" i="2" s="1"/>
  <c r="L88" i="2"/>
  <c r="O88" i="2" s="1"/>
  <c r="L87" i="2"/>
  <c r="O87" i="2" s="1"/>
  <c r="L86" i="2"/>
  <c r="O86" i="2" s="1"/>
  <c r="L85" i="2"/>
  <c r="O85" i="2" s="1"/>
  <c r="L84" i="2"/>
  <c r="O84" i="2" s="1"/>
  <c r="L83" i="2"/>
  <c r="O83" i="2" s="1"/>
  <c r="L82" i="2"/>
  <c r="O82" i="2" s="1"/>
  <c r="L81" i="2"/>
  <c r="O81" i="2" s="1"/>
  <c r="L80" i="2"/>
  <c r="O80" i="2" s="1"/>
  <c r="L79" i="2"/>
  <c r="O79" i="2" s="1"/>
  <c r="L78" i="2"/>
  <c r="O78" i="2" s="1"/>
  <c r="L77" i="2"/>
  <c r="O77" i="2" s="1"/>
  <c r="L76" i="2"/>
  <c r="O76" i="2" s="1"/>
  <c r="L75" i="2"/>
  <c r="O75" i="2" s="1"/>
  <c r="L74" i="2"/>
  <c r="O74" i="2" s="1"/>
  <c r="L73" i="2"/>
  <c r="O73" i="2" s="1"/>
  <c r="L72" i="2"/>
  <c r="O72" i="2" s="1"/>
  <c r="L71" i="2"/>
  <c r="O71" i="2" s="1"/>
  <c r="L70" i="2"/>
  <c r="O70" i="2" s="1"/>
  <c r="L69" i="2"/>
  <c r="O69" i="2" s="1"/>
  <c r="L68" i="2"/>
  <c r="O68" i="2" s="1"/>
  <c r="L67" i="2"/>
  <c r="O67" i="2" s="1"/>
  <c r="L66" i="2"/>
  <c r="O66" i="2" s="1"/>
  <c r="L65" i="2"/>
  <c r="O65" i="2" s="1"/>
  <c r="L64" i="2"/>
  <c r="O64" i="2" s="1"/>
  <c r="L63" i="2"/>
  <c r="O63" i="2" s="1"/>
  <c r="L62" i="2"/>
  <c r="O62" i="2" s="1"/>
  <c r="L61" i="2"/>
  <c r="O61" i="2" s="1"/>
  <c r="L60" i="2"/>
  <c r="O60" i="2" s="1"/>
  <c r="L59" i="2"/>
  <c r="O59" i="2" s="1"/>
  <c r="L58" i="2"/>
  <c r="O58" i="2" s="1"/>
  <c r="L57" i="2"/>
  <c r="O57" i="2" s="1"/>
  <c r="L56" i="2"/>
  <c r="O56" i="2" s="1"/>
  <c r="L55" i="2"/>
  <c r="O55" i="2" s="1"/>
  <c r="L54" i="2"/>
  <c r="O54" i="2" s="1"/>
  <c r="L53" i="2"/>
  <c r="O53" i="2" s="1"/>
  <c r="L52" i="2"/>
  <c r="O52" i="2" s="1"/>
  <c r="L51" i="2"/>
  <c r="O51" i="2" s="1"/>
  <c r="L50" i="2"/>
  <c r="O50" i="2" s="1"/>
  <c r="L49" i="2"/>
  <c r="O49" i="2" s="1"/>
  <c r="L48" i="2"/>
  <c r="O48" i="2" s="1"/>
  <c r="L47" i="2"/>
  <c r="O47" i="2" s="1"/>
  <c r="L46" i="2"/>
  <c r="O46" i="2" s="1"/>
  <c r="L45" i="2"/>
  <c r="O45" i="2" s="1"/>
  <c r="L44" i="2"/>
  <c r="O44" i="2" s="1"/>
  <c r="L43" i="2"/>
  <c r="O43" i="2" s="1"/>
  <c r="D15" i="7" s="1"/>
  <c r="L42" i="2"/>
  <c r="O42" i="2" s="1"/>
  <c r="L41" i="2"/>
  <c r="O41" i="2" s="1"/>
  <c r="L40" i="2"/>
  <c r="O40" i="2" s="1"/>
  <c r="L39" i="2"/>
  <c r="O39" i="2" s="1"/>
  <c r="L38" i="2"/>
  <c r="O38" i="2" s="1"/>
  <c r="L37" i="2"/>
  <c r="O37" i="2" s="1"/>
  <c r="L36" i="2"/>
  <c r="O36" i="2" s="1"/>
  <c r="L35" i="2"/>
  <c r="O35" i="2" s="1"/>
  <c r="L34" i="2"/>
  <c r="O34" i="2" s="1"/>
  <c r="L33" i="2"/>
  <c r="O33" i="2" s="1"/>
  <c r="L32" i="2"/>
  <c r="O32" i="2" s="1"/>
  <c r="L31" i="2"/>
  <c r="O31" i="2" s="1"/>
  <c r="L30" i="2"/>
  <c r="O30" i="2" s="1"/>
  <c r="L29" i="2"/>
  <c r="O29" i="2" s="1"/>
  <c r="L28" i="2"/>
  <c r="O28" i="2" s="1"/>
  <c r="L27" i="2"/>
  <c r="O27" i="2" s="1"/>
  <c r="L26" i="2"/>
  <c r="O26" i="2" s="1"/>
  <c r="L25" i="2"/>
  <c r="O25" i="2" s="1"/>
  <c r="L24" i="2"/>
  <c r="O24" i="2" s="1"/>
  <c r="L23" i="2"/>
  <c r="O23" i="2" s="1"/>
  <c r="L22" i="2"/>
  <c r="O22" i="2" s="1"/>
  <c r="L21" i="2"/>
  <c r="O21" i="2" s="1"/>
  <c r="L20" i="2"/>
  <c r="O20" i="2" s="1"/>
  <c r="L19" i="2"/>
  <c r="O19" i="2" s="1"/>
  <c r="D12" i="7" s="1"/>
  <c r="L18" i="2"/>
  <c r="O18" i="2" s="1"/>
  <c r="L17" i="2"/>
  <c r="O17" i="2" s="1"/>
  <c r="L16" i="2"/>
  <c r="O16" i="2" s="1"/>
  <c r="D18" i="7" s="1"/>
  <c r="L15" i="2"/>
  <c r="O15" i="2" s="1"/>
  <c r="D11" i="7" s="1"/>
  <c r="L14" i="2"/>
  <c r="O14" i="2" s="1"/>
  <c r="D19" i="7" s="1"/>
  <c r="L13" i="2"/>
  <c r="O13" i="2" s="1"/>
  <c r="D17" i="7" s="1"/>
  <c r="L12" i="2"/>
  <c r="O12" i="2" s="1"/>
  <c r="L11" i="2"/>
  <c r="O11" i="2" s="1"/>
  <c r="L10" i="2"/>
  <c r="O10" i="2" s="1"/>
  <c r="D13" i="7" s="1"/>
  <c r="R9" i="2"/>
  <c r="L9" i="2"/>
  <c r="O9" i="2" s="1"/>
  <c r="L8" i="2"/>
  <c r="O8" i="2" s="1"/>
  <c r="R7" i="2"/>
  <c r="H5" i="7" s="1"/>
  <c r="L7" i="2"/>
  <c r="O7" i="2" s="1"/>
  <c r="L6" i="2"/>
  <c r="O6" i="2" s="1"/>
  <c r="R5" i="2"/>
  <c r="L5" i="2"/>
  <c r="R4" i="2"/>
  <c r="L4" i="2"/>
  <c r="R3" i="2"/>
  <c r="D5" i="7" s="1"/>
  <c r="L3" i="2"/>
  <c r="O3" i="2" s="1"/>
  <c r="B5" i="7"/>
  <c r="L2" i="2"/>
  <c r="I12" i="7" l="1"/>
  <c r="I10" i="7"/>
  <c r="I13" i="7"/>
  <c r="P20" i="6"/>
  <c r="P34" i="6"/>
  <c r="P33" i="6"/>
  <c r="P32" i="6"/>
  <c r="P28" i="6"/>
  <c r="P42" i="6"/>
  <c r="P40" i="6"/>
  <c r="P39" i="6"/>
  <c r="P37" i="6"/>
  <c r="P36" i="6"/>
  <c r="P24" i="6"/>
  <c r="P22" i="6"/>
  <c r="P26" i="6"/>
  <c r="I11" i="7"/>
  <c r="P35" i="6"/>
  <c r="P31" i="6"/>
  <c r="P27" i="6"/>
  <c r="P23" i="6"/>
  <c r="P30" i="6"/>
  <c r="P19" i="6"/>
  <c r="P29" i="6"/>
  <c r="P38" i="6"/>
  <c r="P41" i="6"/>
  <c r="P25" i="6"/>
  <c r="P21" i="6"/>
  <c r="C27" i="7"/>
  <c r="O267" i="3"/>
  <c r="C26" i="7"/>
  <c r="O254" i="3"/>
  <c r="P69" i="6"/>
  <c r="O246" i="3"/>
  <c r="C25" i="7"/>
  <c r="O243" i="3"/>
  <c r="O242" i="3"/>
  <c r="P74" i="6"/>
  <c r="C30" i="7"/>
  <c r="O241" i="3"/>
  <c r="C28" i="7"/>
  <c r="O240" i="3"/>
  <c r="P72" i="6"/>
  <c r="O239" i="3"/>
  <c r="O238" i="3"/>
  <c r="P76" i="6"/>
  <c r="C29" i="7"/>
  <c r="P70" i="6"/>
  <c r="O237" i="3"/>
  <c r="P67" i="6"/>
  <c r="O236" i="3"/>
  <c r="P73" i="6"/>
  <c r="O235" i="3"/>
  <c r="P71" i="6"/>
  <c r="O234" i="3"/>
  <c r="P75" i="6"/>
  <c r="C24" i="7"/>
  <c r="O233" i="3"/>
  <c r="O232" i="3"/>
  <c r="P68" i="6"/>
  <c r="C31" i="7"/>
  <c r="O17" i="3"/>
  <c r="C32" i="7"/>
  <c r="O10" i="3"/>
  <c r="C33" i="7"/>
  <c r="O7" i="3"/>
  <c r="O5" i="2"/>
  <c r="D14" i="7" s="1"/>
  <c r="P50" i="6"/>
  <c r="O4" i="2"/>
  <c r="D16" i="7" s="1"/>
  <c r="P52" i="6"/>
  <c r="O2" i="2"/>
  <c r="R6" i="2"/>
  <c r="F5" i="7" s="1"/>
  <c r="P46" i="6"/>
  <c r="R8" i="2" l="1"/>
  <c r="D10" i="7"/>
</calcChain>
</file>

<file path=xl/sharedStrings.xml><?xml version="1.0" encoding="utf-8"?>
<sst xmlns="http://schemas.openxmlformats.org/spreadsheetml/2006/main" count="12323" uniqueCount="2356">
  <si>
    <t>KENYA FLEET &amp; LOGISTICS OPERATIONS ANALYSIS</t>
  </si>
  <si>
    <t>Portfolio Project | Junior Data Analyst | 2024–2025</t>
  </si>
  <si>
    <t>Analysing fleet performance, machinery utilization, purchase orders &amp; delivery logistics across Kenya</t>
  </si>
  <si>
    <t>ANALYST</t>
  </si>
  <si>
    <t>Jane Wanjiku Kamau</t>
  </si>
  <si>
    <t>PERIOD</t>
  </si>
  <si>
    <t>January 2024 – December 2025</t>
  </si>
  <si>
    <t>DATASET</t>
  </si>
  <si>
    <t>2,400 records | 6 worksheets</t>
  </si>
  <si>
    <t>TOOLS USED</t>
  </si>
  <si>
    <t>Microsoft Excel (Pivot Tables, VLOOKUP, IFs, Charts, Conditional Formatting)</t>
  </si>
  <si>
    <t>DOMAIN</t>
  </si>
  <si>
    <t>Fleet Management, Procurement, Logistics – Kenya</t>
  </si>
  <si>
    <t>KEY BUSINESS QUESTIONS ANSWERED</t>
  </si>
  <si>
    <t>1. Which counties have the highest fleet operating costs?</t>
  </si>
  <si>
    <t>2. What is the average machinery utilization rate across regions?</t>
  </si>
  <si>
    <t>3. Which suppliers have the most delayed deliveries?</t>
  </si>
  <si>
    <t>4. What is the monthly trend in purchase order values?</t>
  </si>
  <si>
    <t>5. Which vehicle categories consume the most fuel?</t>
  </si>
  <si>
    <t>6. What is the on-time delivery rate by product category?</t>
  </si>
  <si>
    <t>7. Where are inventory shortfalls occurring?</t>
  </si>
  <si>
    <t>8. What are the top 5 cost-driving routes in the fleet?</t>
  </si>
  <si>
    <t>WORKBOOK SHEETS</t>
  </si>
  <si>
    <t>📊 Fleet Data</t>
  </si>
  <si>
    <t>Raw fleet vehicle data: 200 vehicles, mileage, fuel, costs by county</t>
  </si>
  <si>
    <t>🔧 Machinery Log</t>
  </si>
  <si>
    <t>Machinery utilization log: 300 entries across construction sites</t>
  </si>
  <si>
    <t>📦 Purchase Orders</t>
  </si>
  <si>
    <t>480 purchase orders with suppliers, delivery dates &amp; status</t>
  </si>
  <si>
    <t>🗺️ Delivery Tracker</t>
  </si>
  <si>
    <t>Delivery route performance: distance, time, delays per region</t>
  </si>
  <si>
    <t>📈 Dashboard</t>
  </si>
  <si>
    <t>Executive summary dashboard with KPIs and charts</t>
  </si>
  <si>
    <t>Vehicle ID</t>
  </si>
  <si>
    <t>Vehicle Type</t>
  </si>
  <si>
    <t>County</t>
  </si>
  <si>
    <t>Department</t>
  </si>
  <si>
    <t>Fuel Type</t>
  </si>
  <si>
    <t>Engine CC</t>
  </si>
  <si>
    <t>Year of Manufacture</t>
  </si>
  <si>
    <t>Odometer (km)</t>
  </si>
  <si>
    <t>Fuel Consumed (L)</t>
  </si>
  <si>
    <t>Fuel Cost (KES)</t>
  </si>
  <si>
    <t>Maintenance Cost (KES)</t>
  </si>
  <si>
    <t>Total Cost (KES)</t>
  </si>
  <si>
    <t>Status</t>
  </si>
  <si>
    <t>Utilization Rate (%)</t>
  </si>
  <si>
    <t>Cost per km (KES)</t>
  </si>
  <si>
    <t>FLEET KPI SUMMARY</t>
  </si>
  <si>
    <t>VH-0001</t>
  </si>
  <si>
    <t>Lorry</t>
  </si>
  <si>
    <t>Nairobi</t>
  </si>
  <si>
    <t>Maintenance</t>
  </si>
  <si>
    <t>Diesel</t>
  </si>
  <si>
    <t>Active</t>
  </si>
  <si>
    <t>Total Vehicles</t>
  </si>
  <si>
    <t>VH-0002</t>
  </si>
  <si>
    <t>Forklift</t>
  </si>
  <si>
    <t>Construction</t>
  </si>
  <si>
    <t>Active Vehicles</t>
  </si>
  <si>
    <t>VH-0003</t>
  </si>
  <si>
    <t>Minivan</t>
  </si>
  <si>
    <t>Nyeri</t>
  </si>
  <si>
    <t>Logistics</t>
  </si>
  <si>
    <t>Petrol</t>
  </si>
  <si>
    <t>Under Repair</t>
  </si>
  <si>
    <t>VH-0004</t>
  </si>
  <si>
    <t>Excavator</t>
  </si>
  <si>
    <t>Eldoret</t>
  </si>
  <si>
    <t>Inactive</t>
  </si>
  <si>
    <t>VH-0005</t>
  </si>
  <si>
    <t>Crane</t>
  </si>
  <si>
    <t>Kisii</t>
  </si>
  <si>
    <t>Total Fleet Cost (KES)</t>
  </si>
  <si>
    <t>VH-0006</t>
  </si>
  <si>
    <t>Tanker</t>
  </si>
  <si>
    <t>Lamu</t>
  </si>
  <si>
    <t>Avg Utilization (%)</t>
  </si>
  <si>
    <t>VH-0007</t>
  </si>
  <si>
    <t>Tipper</t>
  </si>
  <si>
    <t>Kakamega</t>
  </si>
  <si>
    <t>Avg Cost/km (KES)</t>
  </si>
  <si>
    <t>VH-0008</t>
  </si>
  <si>
    <t>Malindi</t>
  </si>
  <si>
    <t>Total Fuel Consumed (L)</t>
  </si>
  <si>
    <t>VH-0009</t>
  </si>
  <si>
    <t>Nakuru</t>
  </si>
  <si>
    <t>VH-0010</t>
  </si>
  <si>
    <t>VH-0011</t>
  </si>
  <si>
    <t>Supply Chain</t>
  </si>
  <si>
    <t>VH-0012</t>
  </si>
  <si>
    <t>Machakos</t>
  </si>
  <si>
    <t>VH-0013</t>
  </si>
  <si>
    <t>Kitale</t>
  </si>
  <si>
    <t>Operations</t>
  </si>
  <si>
    <t>VH-0014</t>
  </si>
  <si>
    <t>Mombasa</t>
  </si>
  <si>
    <t>VH-0015</t>
  </si>
  <si>
    <t>Pickup</t>
  </si>
  <si>
    <t>Meru</t>
  </si>
  <si>
    <t>VH-0016</t>
  </si>
  <si>
    <t>VH-0017</t>
  </si>
  <si>
    <t>VH-0018</t>
  </si>
  <si>
    <t>Kisumu</t>
  </si>
  <si>
    <t>VH-0019</t>
  </si>
  <si>
    <t>VH-0020</t>
  </si>
  <si>
    <t>VH-0021</t>
  </si>
  <si>
    <t>Truck</t>
  </si>
  <si>
    <t>VH-0022</t>
  </si>
  <si>
    <t>VH-0023</t>
  </si>
  <si>
    <t>VH-0024</t>
  </si>
  <si>
    <t>VH-0025</t>
  </si>
  <si>
    <t>VH-0026</t>
  </si>
  <si>
    <t>Bus</t>
  </si>
  <si>
    <t>VH-0027</t>
  </si>
  <si>
    <t>VH-0028</t>
  </si>
  <si>
    <t>VH-0029</t>
  </si>
  <si>
    <t>VH-0030</t>
  </si>
  <si>
    <t>VH-0031</t>
  </si>
  <si>
    <t>Garissa</t>
  </si>
  <si>
    <t>VH-0032</t>
  </si>
  <si>
    <t>VH-0033</t>
  </si>
  <si>
    <t>VH-0034</t>
  </si>
  <si>
    <t>VH-0035</t>
  </si>
  <si>
    <t>VH-0036</t>
  </si>
  <si>
    <t>VH-0037</t>
  </si>
  <si>
    <t>VH-0038</t>
  </si>
  <si>
    <t>VH-0039</t>
  </si>
  <si>
    <t>VH-0040</t>
  </si>
  <si>
    <t>VH-0041</t>
  </si>
  <si>
    <t>VH-0042</t>
  </si>
  <si>
    <t>Thika</t>
  </si>
  <si>
    <t>VH-0043</t>
  </si>
  <si>
    <t>VH-0044</t>
  </si>
  <si>
    <t>VH-0045</t>
  </si>
  <si>
    <t>VH-0046</t>
  </si>
  <si>
    <t>VH-0047</t>
  </si>
  <si>
    <t>VH-0048</t>
  </si>
  <si>
    <t>VH-0049</t>
  </si>
  <si>
    <t>VH-0050</t>
  </si>
  <si>
    <t>VH-0051</t>
  </si>
  <si>
    <t>VH-0052</t>
  </si>
  <si>
    <t>VH-0053</t>
  </si>
  <si>
    <t>VH-0054</t>
  </si>
  <si>
    <t>VH-0055</t>
  </si>
  <si>
    <t>VH-0056</t>
  </si>
  <si>
    <t>VH-0057</t>
  </si>
  <si>
    <t>VH-0058</t>
  </si>
  <si>
    <t>VH-0059</t>
  </si>
  <si>
    <t>VH-0060</t>
  </si>
  <si>
    <t>VH-0061</t>
  </si>
  <si>
    <t>VH-0062</t>
  </si>
  <si>
    <t>VH-0063</t>
  </si>
  <si>
    <t>VH-0064</t>
  </si>
  <si>
    <t>VH-0065</t>
  </si>
  <si>
    <t>VH-0066</t>
  </si>
  <si>
    <t>VH-0067</t>
  </si>
  <si>
    <t>VH-0068</t>
  </si>
  <si>
    <t>VH-0069</t>
  </si>
  <si>
    <t>VH-0070</t>
  </si>
  <si>
    <t>VH-0071</t>
  </si>
  <si>
    <t>VH-0072</t>
  </si>
  <si>
    <t>VH-0073</t>
  </si>
  <si>
    <t>VH-0074</t>
  </si>
  <si>
    <t>VH-0075</t>
  </si>
  <si>
    <t>VH-0076</t>
  </si>
  <si>
    <t>VH-0077</t>
  </si>
  <si>
    <t>VH-0078</t>
  </si>
  <si>
    <t>VH-0079</t>
  </si>
  <si>
    <t>VH-0080</t>
  </si>
  <si>
    <t>VH-0081</t>
  </si>
  <si>
    <t>VH-0082</t>
  </si>
  <si>
    <t>VH-0083</t>
  </si>
  <si>
    <t>VH-0084</t>
  </si>
  <si>
    <t>VH-0085</t>
  </si>
  <si>
    <t>VH-0086</t>
  </si>
  <si>
    <t>VH-0087</t>
  </si>
  <si>
    <t>VH-0088</t>
  </si>
  <si>
    <t>VH-0089</t>
  </si>
  <si>
    <t>VH-0090</t>
  </si>
  <si>
    <t>VH-0091</t>
  </si>
  <si>
    <t>VH-0092</t>
  </si>
  <si>
    <t>VH-0093</t>
  </si>
  <si>
    <t>VH-0094</t>
  </si>
  <si>
    <t>VH-0095</t>
  </si>
  <si>
    <t>VH-0096</t>
  </si>
  <si>
    <t>VH-0097</t>
  </si>
  <si>
    <t>VH-0098</t>
  </si>
  <si>
    <t>VH-0099</t>
  </si>
  <si>
    <t>VH-0100</t>
  </si>
  <si>
    <t>VH-0101</t>
  </si>
  <si>
    <t>VH-0102</t>
  </si>
  <si>
    <t>VH-0103</t>
  </si>
  <si>
    <t>VH-0104</t>
  </si>
  <si>
    <t>VH-0105</t>
  </si>
  <si>
    <t>VH-0106</t>
  </si>
  <si>
    <t>VH-0107</t>
  </si>
  <si>
    <t>VH-0108</t>
  </si>
  <si>
    <t>VH-0109</t>
  </si>
  <si>
    <t>VH-0110</t>
  </si>
  <si>
    <t>VH-0111</t>
  </si>
  <si>
    <t>VH-0112</t>
  </si>
  <si>
    <t>VH-0113</t>
  </si>
  <si>
    <t>VH-0114</t>
  </si>
  <si>
    <t>VH-0115</t>
  </si>
  <si>
    <t>VH-0116</t>
  </si>
  <si>
    <t>VH-0117</t>
  </si>
  <si>
    <t>VH-0118</t>
  </si>
  <si>
    <t>VH-0119</t>
  </si>
  <si>
    <t>VH-0120</t>
  </si>
  <si>
    <t>VH-0121</t>
  </si>
  <si>
    <t>VH-0122</t>
  </si>
  <si>
    <t>VH-0123</t>
  </si>
  <si>
    <t>VH-0124</t>
  </si>
  <si>
    <t>VH-0125</t>
  </si>
  <si>
    <t>VH-0126</t>
  </si>
  <si>
    <t>VH-0127</t>
  </si>
  <si>
    <t>VH-0128</t>
  </si>
  <si>
    <t>VH-0129</t>
  </si>
  <si>
    <t>VH-0130</t>
  </si>
  <si>
    <t>VH-0131</t>
  </si>
  <si>
    <t>VH-0132</t>
  </si>
  <si>
    <t>VH-0133</t>
  </si>
  <si>
    <t>VH-0134</t>
  </si>
  <si>
    <t>VH-0135</t>
  </si>
  <si>
    <t>VH-0136</t>
  </si>
  <si>
    <t>VH-0137</t>
  </si>
  <si>
    <t>VH-0138</t>
  </si>
  <si>
    <t>VH-0139</t>
  </si>
  <si>
    <t>VH-0140</t>
  </si>
  <si>
    <t>VH-0141</t>
  </si>
  <si>
    <t>VH-0142</t>
  </si>
  <si>
    <t>VH-0143</t>
  </si>
  <si>
    <t>VH-0144</t>
  </si>
  <si>
    <t>VH-0145</t>
  </si>
  <si>
    <t>VH-0146</t>
  </si>
  <si>
    <t>VH-0147</t>
  </si>
  <si>
    <t>VH-0148</t>
  </si>
  <si>
    <t>VH-0149</t>
  </si>
  <si>
    <t>VH-0150</t>
  </si>
  <si>
    <t>VH-0151</t>
  </si>
  <si>
    <t>VH-0152</t>
  </si>
  <si>
    <t>VH-0153</t>
  </si>
  <si>
    <t>VH-0154</t>
  </si>
  <si>
    <t>VH-0155</t>
  </si>
  <si>
    <t>VH-0156</t>
  </si>
  <si>
    <t>VH-0157</t>
  </si>
  <si>
    <t>VH-0158</t>
  </si>
  <si>
    <t>VH-0159</t>
  </si>
  <si>
    <t>VH-0160</t>
  </si>
  <si>
    <t>VH-0161</t>
  </si>
  <si>
    <t>VH-0162</t>
  </si>
  <si>
    <t>VH-0163</t>
  </si>
  <si>
    <t>VH-0164</t>
  </si>
  <si>
    <t>VH-0165</t>
  </si>
  <si>
    <t>VH-0166</t>
  </si>
  <si>
    <t>VH-0167</t>
  </si>
  <si>
    <t>VH-0168</t>
  </si>
  <si>
    <t>VH-0169</t>
  </si>
  <si>
    <t>VH-0170</t>
  </si>
  <si>
    <t>VH-0171</t>
  </si>
  <si>
    <t>VH-0172</t>
  </si>
  <si>
    <t>VH-0173</t>
  </si>
  <si>
    <t>VH-0174</t>
  </si>
  <si>
    <t>VH-0175</t>
  </si>
  <si>
    <t>VH-0176</t>
  </si>
  <si>
    <t>VH-0177</t>
  </si>
  <si>
    <t>VH-0178</t>
  </si>
  <si>
    <t>VH-0179</t>
  </si>
  <si>
    <t>VH-0180</t>
  </si>
  <si>
    <t>VH-0181</t>
  </si>
  <si>
    <t>VH-0182</t>
  </si>
  <si>
    <t>VH-0183</t>
  </si>
  <si>
    <t>VH-0184</t>
  </si>
  <si>
    <t>VH-0185</t>
  </si>
  <si>
    <t>VH-0186</t>
  </si>
  <si>
    <t>VH-0187</t>
  </si>
  <si>
    <t>VH-0188</t>
  </si>
  <si>
    <t>VH-0189</t>
  </si>
  <si>
    <t>VH-0190</t>
  </si>
  <si>
    <t>VH-0191</t>
  </si>
  <si>
    <t>VH-0192</t>
  </si>
  <si>
    <t>VH-0193</t>
  </si>
  <si>
    <t>VH-0194</t>
  </si>
  <si>
    <t>VH-0195</t>
  </si>
  <si>
    <t>VH-0196</t>
  </si>
  <si>
    <t>VH-0197</t>
  </si>
  <si>
    <t>VH-0198</t>
  </si>
  <si>
    <t>VH-0199</t>
  </si>
  <si>
    <t>VH-0200</t>
  </si>
  <si>
    <t>Log ID</t>
  </si>
  <si>
    <t>Machinery Type</t>
  </si>
  <si>
    <t>Site Location</t>
  </si>
  <si>
    <t>Operator</t>
  </si>
  <si>
    <t>Date</t>
  </si>
  <si>
    <t>Hours Operated</t>
  </si>
  <si>
    <t>Planned Hours</t>
  </si>
  <si>
    <t>Utilization (%)</t>
  </si>
  <si>
    <t>Fuel Used (L)</t>
  </si>
  <si>
    <t>Breakdown Incidents</t>
  </si>
  <si>
    <t>Condition</t>
  </si>
  <si>
    <t>Downtime (hrs)</t>
  </si>
  <si>
    <t>Efficiency Score</t>
  </si>
  <si>
    <t>ML-0001</t>
  </si>
  <si>
    <t>Compressor</t>
  </si>
  <si>
    <t>Eldoret Industrial</t>
  </si>
  <si>
    <t>Uasin Gishu</t>
  </si>
  <si>
    <t>Operator C</t>
  </si>
  <si>
    <t>2025-01-24</t>
  </si>
  <si>
    <t>Fair</t>
  </si>
  <si>
    <t>ML-0002</t>
  </si>
  <si>
    <t>Grader</t>
  </si>
  <si>
    <t>Thika Road</t>
  </si>
  <si>
    <t>Kiambu</t>
  </si>
  <si>
    <t>Operator M</t>
  </si>
  <si>
    <t>2024-12-09</t>
  </si>
  <si>
    <t>ML-0003</t>
  </si>
  <si>
    <t>Nairobi Bypass</t>
  </si>
  <si>
    <t>Operator B</t>
  </si>
  <si>
    <t>2024-05-10</t>
  </si>
  <si>
    <t>ML-0004</t>
  </si>
  <si>
    <t>Drilling Rig</t>
  </si>
  <si>
    <t>Nyeri Dam</t>
  </si>
  <si>
    <t>Operator F</t>
  </si>
  <si>
    <t>ML-0005</t>
  </si>
  <si>
    <t>Operator P</t>
  </si>
  <si>
    <t>2024-01-27</t>
  </si>
  <si>
    <t>Good</t>
  </si>
  <si>
    <t>ML-0006</t>
  </si>
  <si>
    <t>Kitale Grain Store</t>
  </si>
  <si>
    <t>Trans-Nzoia</t>
  </si>
  <si>
    <t>2024-09-04</t>
  </si>
  <si>
    <t>ML-0007</t>
  </si>
  <si>
    <t>Nakuru Ring Road</t>
  </si>
  <si>
    <t>Operator E</t>
  </si>
  <si>
    <t>2025-10-18</t>
  </si>
  <si>
    <t>ML-0008</t>
  </si>
  <si>
    <t>Operator G</t>
  </si>
  <si>
    <t>2025-02-12</t>
  </si>
  <si>
    <t>ML-0009</t>
  </si>
  <si>
    <t>Malindi Resort</t>
  </si>
  <si>
    <t>Kilifi</t>
  </si>
  <si>
    <t>2025-06-02</t>
  </si>
  <si>
    <t>Under Service</t>
  </si>
  <si>
    <t>ML-0010</t>
  </si>
  <si>
    <t>Operator R</t>
  </si>
  <si>
    <t>ML-0011</t>
  </si>
  <si>
    <t>2025-11-07</t>
  </si>
  <si>
    <t>ML-0012</t>
  </si>
  <si>
    <t>Bulldozer</t>
  </si>
  <si>
    <t>ML-0013</t>
  </si>
  <si>
    <t>Operator O</t>
  </si>
  <si>
    <t>2025-09-19</t>
  </si>
  <si>
    <t>ML-0014</t>
  </si>
  <si>
    <t>Mombasa SGR</t>
  </si>
  <si>
    <t>Operator D</t>
  </si>
  <si>
    <t>2025-08-02</t>
  </si>
  <si>
    <t>ML-0015</t>
  </si>
  <si>
    <t>Operator K</t>
  </si>
  <si>
    <t>ML-0016</t>
  </si>
  <si>
    <t>Generator</t>
  </si>
  <si>
    <t>Garissa Bridge</t>
  </si>
  <si>
    <t>ML-0017</t>
  </si>
  <si>
    <t>Kisumu Port</t>
  </si>
  <si>
    <t>2025-12-12</t>
  </si>
  <si>
    <t>ML-0018</t>
  </si>
  <si>
    <t>ML-0019</t>
  </si>
  <si>
    <t>2025-05-12</t>
  </si>
  <si>
    <t>ML-0020</t>
  </si>
  <si>
    <t>Concrete Mixer</t>
  </si>
  <si>
    <t>ML-0021</t>
  </si>
  <si>
    <t>Roller</t>
  </si>
  <si>
    <t>Operator T</t>
  </si>
  <si>
    <t>ML-0022</t>
  </si>
  <si>
    <t>2024-08-28</t>
  </si>
  <si>
    <t>ML-0023</t>
  </si>
  <si>
    <t>Operator I</t>
  </si>
  <si>
    <t>ML-0024</t>
  </si>
  <si>
    <t>ML-0025</t>
  </si>
  <si>
    <t>Operator N</t>
  </si>
  <si>
    <t>ML-0026</t>
  </si>
  <si>
    <t>Operator Q</t>
  </si>
  <si>
    <t>2025-03-25</t>
  </si>
  <si>
    <t>ML-0027</t>
  </si>
  <si>
    <t>Operator S</t>
  </si>
  <si>
    <t>ML-0028</t>
  </si>
  <si>
    <t>Water Pump</t>
  </si>
  <si>
    <t>ML-0029</t>
  </si>
  <si>
    <t>ML-0030</t>
  </si>
  <si>
    <t>2024-02-21</t>
  </si>
  <si>
    <t>ML-0031</t>
  </si>
  <si>
    <t>ML-0032</t>
  </si>
  <si>
    <t>ML-0033</t>
  </si>
  <si>
    <t>ML-0034</t>
  </si>
  <si>
    <t>ML-0035</t>
  </si>
  <si>
    <t>ML-0036</t>
  </si>
  <si>
    <t>2024-11-05</t>
  </si>
  <si>
    <t>ML-0037</t>
  </si>
  <si>
    <t>2024-10-14</t>
  </si>
  <si>
    <t>Poor</t>
  </si>
  <si>
    <t>ML-0038</t>
  </si>
  <si>
    <t>ML-0039</t>
  </si>
  <si>
    <t>2024-06-18</t>
  </si>
  <si>
    <t>ML-0040</t>
  </si>
  <si>
    <t>ML-0041</t>
  </si>
  <si>
    <t>ML-0042</t>
  </si>
  <si>
    <t>2025-04-13</t>
  </si>
  <si>
    <t>ML-0043</t>
  </si>
  <si>
    <t>Operator H</t>
  </si>
  <si>
    <t>ML-0044</t>
  </si>
  <si>
    <t>Operator L</t>
  </si>
  <si>
    <t>ML-0045</t>
  </si>
  <si>
    <t>ML-0046</t>
  </si>
  <si>
    <t>ML-0047</t>
  </si>
  <si>
    <t>ML-0048</t>
  </si>
  <si>
    <t>ML-0049</t>
  </si>
  <si>
    <t>ML-0050</t>
  </si>
  <si>
    <t>ML-0051</t>
  </si>
  <si>
    <t>ML-0052</t>
  </si>
  <si>
    <t>ML-0053</t>
  </si>
  <si>
    <t>ML-0054</t>
  </si>
  <si>
    <t>ML-0055</t>
  </si>
  <si>
    <t>ML-0056</t>
  </si>
  <si>
    <t>Operator A</t>
  </si>
  <si>
    <t>2024-07-01</t>
  </si>
  <si>
    <t>ML-0057</t>
  </si>
  <si>
    <t>ML-0058</t>
  </si>
  <si>
    <t>2024-04-16</t>
  </si>
  <si>
    <t>ML-0059</t>
  </si>
  <si>
    <t>ML-0060</t>
  </si>
  <si>
    <t>ML-0061</t>
  </si>
  <si>
    <t>ML-0062</t>
  </si>
  <si>
    <t>ML-0063</t>
  </si>
  <si>
    <t>ML-0064</t>
  </si>
  <si>
    <t>ML-0065</t>
  </si>
  <si>
    <t>Operator J</t>
  </si>
  <si>
    <t>ML-0066</t>
  </si>
  <si>
    <t>ML-0067</t>
  </si>
  <si>
    <t>ML-0068</t>
  </si>
  <si>
    <t>2025-07-13</t>
  </si>
  <si>
    <t>ML-0069</t>
  </si>
  <si>
    <t>ML-0070</t>
  </si>
  <si>
    <t>ML-0071</t>
  </si>
  <si>
    <t>ML-0072</t>
  </si>
  <si>
    <t>ML-0073</t>
  </si>
  <si>
    <t>ML-0074</t>
  </si>
  <si>
    <t>ML-0075</t>
  </si>
  <si>
    <t>ML-0076</t>
  </si>
  <si>
    <t>ML-0077</t>
  </si>
  <si>
    <t>ML-0078</t>
  </si>
  <si>
    <t>ML-0079</t>
  </si>
  <si>
    <t>ML-0080</t>
  </si>
  <si>
    <t>ML-0081</t>
  </si>
  <si>
    <t>ML-0082</t>
  </si>
  <si>
    <t>2024-03-22</t>
  </si>
  <si>
    <t>ML-0083</t>
  </si>
  <si>
    <t>ML-0084</t>
  </si>
  <si>
    <t>ML-0085</t>
  </si>
  <si>
    <t>ML-0086</t>
  </si>
  <si>
    <t>ML-0087</t>
  </si>
  <si>
    <t>ML-0088</t>
  </si>
  <si>
    <t>ML-0089</t>
  </si>
  <si>
    <t>ML-0090</t>
  </si>
  <si>
    <t>ML-0091</t>
  </si>
  <si>
    <t>ML-0092</t>
  </si>
  <si>
    <t>ML-0093</t>
  </si>
  <si>
    <t>ML-0094</t>
  </si>
  <si>
    <t>ML-0095</t>
  </si>
  <si>
    <t>ML-0096</t>
  </si>
  <si>
    <t>ML-0097</t>
  </si>
  <si>
    <t>ML-0098</t>
  </si>
  <si>
    <t>ML-0099</t>
  </si>
  <si>
    <t>ML-0100</t>
  </si>
  <si>
    <t>ML-0101</t>
  </si>
  <si>
    <t>ML-0102</t>
  </si>
  <si>
    <t>ML-0103</t>
  </si>
  <si>
    <t>ML-0104</t>
  </si>
  <si>
    <t>ML-0105</t>
  </si>
  <si>
    <t>ML-0106</t>
  </si>
  <si>
    <t>ML-0107</t>
  </si>
  <si>
    <t>ML-0108</t>
  </si>
  <si>
    <t>ML-0109</t>
  </si>
  <si>
    <t>ML-0110</t>
  </si>
  <si>
    <t>ML-0111</t>
  </si>
  <si>
    <t>ML-0112</t>
  </si>
  <si>
    <t>ML-0113</t>
  </si>
  <si>
    <t>ML-0114</t>
  </si>
  <si>
    <t>ML-0115</t>
  </si>
  <si>
    <t>ML-0116</t>
  </si>
  <si>
    <t>ML-0117</t>
  </si>
  <si>
    <t>ML-0118</t>
  </si>
  <si>
    <t>ML-0119</t>
  </si>
  <si>
    <t>ML-0120</t>
  </si>
  <si>
    <t>ML-0121</t>
  </si>
  <si>
    <t>ML-0122</t>
  </si>
  <si>
    <t>ML-0123</t>
  </si>
  <si>
    <t>ML-0124</t>
  </si>
  <si>
    <t>ML-0125</t>
  </si>
  <si>
    <t>ML-0126</t>
  </si>
  <si>
    <t>ML-0127</t>
  </si>
  <si>
    <t>ML-0128</t>
  </si>
  <si>
    <t>ML-0129</t>
  </si>
  <si>
    <t>ML-0130</t>
  </si>
  <si>
    <t>ML-0131</t>
  </si>
  <si>
    <t>ML-0132</t>
  </si>
  <si>
    <t>ML-0133</t>
  </si>
  <si>
    <t>ML-0134</t>
  </si>
  <si>
    <t>ML-0135</t>
  </si>
  <si>
    <t>ML-0136</t>
  </si>
  <si>
    <t>ML-0137</t>
  </si>
  <si>
    <t>ML-0138</t>
  </si>
  <si>
    <t>ML-0139</t>
  </si>
  <si>
    <t>ML-0140</t>
  </si>
  <si>
    <t>ML-0141</t>
  </si>
  <si>
    <t>ML-0142</t>
  </si>
  <si>
    <t>ML-0143</t>
  </si>
  <si>
    <t>ML-0144</t>
  </si>
  <si>
    <t>ML-0145</t>
  </si>
  <si>
    <t>ML-0146</t>
  </si>
  <si>
    <t>ML-0147</t>
  </si>
  <si>
    <t>ML-0148</t>
  </si>
  <si>
    <t>ML-0149</t>
  </si>
  <si>
    <t>ML-0150</t>
  </si>
  <si>
    <t>ML-0151</t>
  </si>
  <si>
    <t>ML-0152</t>
  </si>
  <si>
    <t>ML-0153</t>
  </si>
  <si>
    <t>ML-0154</t>
  </si>
  <si>
    <t>ML-0155</t>
  </si>
  <si>
    <t>ML-0156</t>
  </si>
  <si>
    <t>ML-0157</t>
  </si>
  <si>
    <t>ML-0158</t>
  </si>
  <si>
    <t>ML-0159</t>
  </si>
  <si>
    <t>ML-0160</t>
  </si>
  <si>
    <t>ML-0161</t>
  </si>
  <si>
    <t>ML-0162</t>
  </si>
  <si>
    <t>ML-0163</t>
  </si>
  <si>
    <t>ML-0164</t>
  </si>
  <si>
    <t>ML-0165</t>
  </si>
  <si>
    <t>ML-0166</t>
  </si>
  <si>
    <t>ML-0167</t>
  </si>
  <si>
    <t>ML-0168</t>
  </si>
  <si>
    <t>ML-0169</t>
  </si>
  <si>
    <t>ML-0170</t>
  </si>
  <si>
    <t>ML-0171</t>
  </si>
  <si>
    <t>ML-0172</t>
  </si>
  <si>
    <t>ML-0173</t>
  </si>
  <si>
    <t>ML-0174</t>
  </si>
  <si>
    <t>ML-0175</t>
  </si>
  <si>
    <t>ML-0176</t>
  </si>
  <si>
    <t>ML-0177</t>
  </si>
  <si>
    <t>ML-0178</t>
  </si>
  <si>
    <t>ML-0179</t>
  </si>
  <si>
    <t>ML-0180</t>
  </si>
  <si>
    <t>ML-0181</t>
  </si>
  <si>
    <t>ML-0182</t>
  </si>
  <si>
    <t>ML-0183</t>
  </si>
  <si>
    <t>ML-0184</t>
  </si>
  <si>
    <t>ML-0185</t>
  </si>
  <si>
    <t>ML-0186</t>
  </si>
  <si>
    <t>ML-0187</t>
  </si>
  <si>
    <t>ML-0188</t>
  </si>
  <si>
    <t>ML-0189</t>
  </si>
  <si>
    <t>ML-0190</t>
  </si>
  <si>
    <t>ML-0191</t>
  </si>
  <si>
    <t>ML-0192</t>
  </si>
  <si>
    <t>ML-0193</t>
  </si>
  <si>
    <t>ML-0194</t>
  </si>
  <si>
    <t>ML-0195</t>
  </si>
  <si>
    <t>ML-0196</t>
  </si>
  <si>
    <t>ML-0197</t>
  </si>
  <si>
    <t>ML-0198</t>
  </si>
  <si>
    <t>ML-0199</t>
  </si>
  <si>
    <t>ML-0200</t>
  </si>
  <si>
    <t>ML-0201</t>
  </si>
  <si>
    <t>ML-0202</t>
  </si>
  <si>
    <t>ML-0203</t>
  </si>
  <si>
    <t>ML-0204</t>
  </si>
  <si>
    <t>ML-0205</t>
  </si>
  <si>
    <t>ML-0206</t>
  </si>
  <si>
    <t>ML-0207</t>
  </si>
  <si>
    <t>ML-0208</t>
  </si>
  <si>
    <t>ML-0209</t>
  </si>
  <si>
    <t>ML-0210</t>
  </si>
  <si>
    <t>ML-0211</t>
  </si>
  <si>
    <t>ML-0212</t>
  </si>
  <si>
    <t>ML-0213</t>
  </si>
  <si>
    <t>ML-0214</t>
  </si>
  <si>
    <t>ML-0215</t>
  </si>
  <si>
    <t>ML-0216</t>
  </si>
  <si>
    <t>ML-0217</t>
  </si>
  <si>
    <t>ML-0218</t>
  </si>
  <si>
    <t>ML-0219</t>
  </si>
  <si>
    <t>ML-0220</t>
  </si>
  <si>
    <t>ML-0221</t>
  </si>
  <si>
    <t>ML-0222</t>
  </si>
  <si>
    <t>ML-0223</t>
  </si>
  <si>
    <t>ML-0224</t>
  </si>
  <si>
    <t>ML-0225</t>
  </si>
  <si>
    <t>ML-0226</t>
  </si>
  <si>
    <t>ML-0227</t>
  </si>
  <si>
    <t>ML-0228</t>
  </si>
  <si>
    <t>ML-0229</t>
  </si>
  <si>
    <t>ML-0230</t>
  </si>
  <si>
    <t>ML-0231</t>
  </si>
  <si>
    <t>ML-0232</t>
  </si>
  <si>
    <t>ML-0233</t>
  </si>
  <si>
    <t>ML-0234</t>
  </si>
  <si>
    <t>ML-0235</t>
  </si>
  <si>
    <t>ML-0236</t>
  </si>
  <si>
    <t>ML-0237</t>
  </si>
  <si>
    <t>ML-0238</t>
  </si>
  <si>
    <t>ML-0239</t>
  </si>
  <si>
    <t>ML-0240</t>
  </si>
  <si>
    <t>ML-0241</t>
  </si>
  <si>
    <t>ML-0242</t>
  </si>
  <si>
    <t>ML-0243</t>
  </si>
  <si>
    <t>ML-0244</t>
  </si>
  <si>
    <t>ML-0245</t>
  </si>
  <si>
    <t>ML-0246</t>
  </si>
  <si>
    <t>ML-0247</t>
  </si>
  <si>
    <t>ML-0248</t>
  </si>
  <si>
    <t>ML-0249</t>
  </si>
  <si>
    <t>ML-0250</t>
  </si>
  <si>
    <t>ML-0251</t>
  </si>
  <si>
    <t>ML-0252</t>
  </si>
  <si>
    <t>ML-0253</t>
  </si>
  <si>
    <t>ML-0254</t>
  </si>
  <si>
    <t>ML-0255</t>
  </si>
  <si>
    <t>ML-0256</t>
  </si>
  <si>
    <t>ML-0257</t>
  </si>
  <si>
    <t>ML-0258</t>
  </si>
  <si>
    <t>ML-0259</t>
  </si>
  <si>
    <t>ML-0260</t>
  </si>
  <si>
    <t>ML-0261</t>
  </si>
  <si>
    <t>ML-0262</t>
  </si>
  <si>
    <t>ML-0263</t>
  </si>
  <si>
    <t>ML-0264</t>
  </si>
  <si>
    <t>ML-0265</t>
  </si>
  <si>
    <t>ML-0266</t>
  </si>
  <si>
    <t>ML-0267</t>
  </si>
  <si>
    <t>ML-0268</t>
  </si>
  <si>
    <t>ML-0269</t>
  </si>
  <si>
    <t>ML-0270</t>
  </si>
  <si>
    <t>ML-0271</t>
  </si>
  <si>
    <t>ML-0272</t>
  </si>
  <si>
    <t>ML-0273</t>
  </si>
  <si>
    <t>ML-0274</t>
  </si>
  <si>
    <t>ML-0275</t>
  </si>
  <si>
    <t>ML-0276</t>
  </si>
  <si>
    <t>ML-0277</t>
  </si>
  <si>
    <t>ML-0278</t>
  </si>
  <si>
    <t>ML-0279</t>
  </si>
  <si>
    <t>ML-0280</t>
  </si>
  <si>
    <t>ML-0281</t>
  </si>
  <si>
    <t>ML-0282</t>
  </si>
  <si>
    <t>ML-0283</t>
  </si>
  <si>
    <t>ML-0284</t>
  </si>
  <si>
    <t>ML-0285</t>
  </si>
  <si>
    <t>ML-0286</t>
  </si>
  <si>
    <t>ML-0287</t>
  </si>
  <si>
    <t>ML-0288</t>
  </si>
  <si>
    <t>ML-0289</t>
  </si>
  <si>
    <t>ML-0290</t>
  </si>
  <si>
    <t>ML-0291</t>
  </si>
  <si>
    <t>ML-0292</t>
  </si>
  <si>
    <t>ML-0293</t>
  </si>
  <si>
    <t>ML-0294</t>
  </si>
  <si>
    <t>ML-0295</t>
  </si>
  <si>
    <t>ML-0296</t>
  </si>
  <si>
    <t>ML-0297</t>
  </si>
  <si>
    <t>ML-0298</t>
  </si>
  <si>
    <t>ML-0299</t>
  </si>
  <si>
    <t>ML-0300</t>
  </si>
  <si>
    <t>PO Number</t>
  </si>
  <si>
    <t>Supplier</t>
  </si>
  <si>
    <t>Supplier County</t>
  </si>
  <si>
    <t>Category</t>
  </si>
  <si>
    <t>Order Date</t>
  </si>
  <si>
    <t>Expected Delivery</t>
  </si>
  <si>
    <t>Actual Delivery</t>
  </si>
  <si>
    <t>Lead Time (Days)</t>
  </si>
  <si>
    <t>Delay (Days)</t>
  </si>
  <si>
    <t>Quantity</t>
  </si>
  <si>
    <t>Unit Price (KES)</t>
  </si>
  <si>
    <t>Total Value (KES)</t>
  </si>
  <si>
    <t>Payment Terms</t>
  </si>
  <si>
    <t>On-Time?</t>
  </si>
  <si>
    <t>PO-00001</t>
  </si>
  <si>
    <t>Highland Machinery</t>
  </si>
  <si>
    <t>Safety Gear</t>
  </si>
  <si>
    <t>2025-08-13</t>
  </si>
  <si>
    <t>2025-09-02</t>
  </si>
  <si>
    <t>In Transit</t>
  </si>
  <si>
    <t>Advance</t>
  </si>
  <si>
    <t>N/A</t>
  </si>
  <si>
    <t>PO-00002</t>
  </si>
  <si>
    <t>Savanna Auto Parts</t>
  </si>
  <si>
    <t>Tyres &amp; Batteries</t>
  </si>
  <si>
    <t>2025-03-02</t>
  </si>
  <si>
    <t>2025-04-16</t>
  </si>
  <si>
    <t>Delayed</t>
  </si>
  <si>
    <t>COD</t>
  </si>
  <si>
    <t>PO-00003</t>
  </si>
  <si>
    <t>Kilimanjaro Logistics</t>
  </si>
  <si>
    <t>Arusha</t>
  </si>
  <si>
    <t>Office Supplies</t>
  </si>
  <si>
    <t>2025-05-24</t>
  </si>
  <si>
    <t>2025-06-08</t>
  </si>
  <si>
    <t>60 Days Net</t>
  </si>
  <si>
    <t>PO-00004</t>
  </si>
  <si>
    <t>Coastal Spares Ltd</t>
  </si>
  <si>
    <t>Heavy Equipment</t>
  </si>
  <si>
    <t>2024-11-21</t>
  </si>
  <si>
    <t>2024-12-12</t>
  </si>
  <si>
    <t>30 Days Net</t>
  </si>
  <si>
    <t>PO-00005</t>
  </si>
  <si>
    <t>Fuel &amp; Lubricants</t>
  </si>
  <si>
    <t>2024-04-18</t>
  </si>
  <si>
    <t>2024-05-08</t>
  </si>
  <si>
    <t>PO-00006</t>
  </si>
  <si>
    <t>Dawa Industrial</t>
  </si>
  <si>
    <t>2025-12-24</t>
  </si>
  <si>
    <t>2025-12-31</t>
  </si>
  <si>
    <t>PO-00007</t>
  </si>
  <si>
    <t>IT &amp; Electronics</t>
  </si>
  <si>
    <t>2024-07-25</t>
  </si>
  <si>
    <t>2024-09-02</t>
  </si>
  <si>
    <t>Delivered</t>
  </si>
  <si>
    <t>YES</t>
  </si>
  <si>
    <t>PO-00008</t>
  </si>
  <si>
    <t>Boma Parts &amp; Tools</t>
  </si>
  <si>
    <t>Spare Parts</t>
  </si>
  <si>
    <t>2025-06-04</t>
  </si>
  <si>
    <t>2025-06-22</t>
  </si>
  <si>
    <t>PO-00009</t>
  </si>
  <si>
    <t>Twiga Supplies Ltd</t>
  </si>
  <si>
    <t>2024-02-05</t>
  </si>
  <si>
    <t>2024-03-13</t>
  </si>
  <si>
    <t>PO-00010</t>
  </si>
  <si>
    <t>Pan Africa Fuels</t>
  </si>
  <si>
    <t>2025-11-19</t>
  </si>
  <si>
    <t>2025-12-29</t>
  </si>
  <si>
    <t>14 Days Net</t>
  </si>
  <si>
    <t>PO-00011</t>
  </si>
  <si>
    <t>2025-09-05</t>
  </si>
  <si>
    <t>2025-10-04</t>
  </si>
  <si>
    <t>PO-00012</t>
  </si>
  <si>
    <t>2024-08-02</t>
  </si>
  <si>
    <t>2024-09-14</t>
  </si>
  <si>
    <t>PO-00013</t>
  </si>
  <si>
    <t>2025-10-13</t>
  </si>
  <si>
    <t>2025-11-06</t>
  </si>
  <si>
    <t>PO-00014</t>
  </si>
  <si>
    <t>East Africa Equipment</t>
  </si>
  <si>
    <t>2024-06-16</t>
  </si>
  <si>
    <t>2024-07-04</t>
  </si>
  <si>
    <t>PO-00015</t>
  </si>
  <si>
    <t>2025-11-21</t>
  </si>
  <si>
    <t>2025-12-28</t>
  </si>
  <si>
    <t>Pending</t>
  </si>
  <si>
    <t>PO-00016</t>
  </si>
  <si>
    <t>2024-02-04</t>
  </si>
  <si>
    <t>2024-03-02</t>
  </si>
  <si>
    <t>PO-00017</t>
  </si>
  <si>
    <t>2025-06-18</t>
  </si>
  <si>
    <t>2025-07-24</t>
  </si>
  <si>
    <t>PO-00018</t>
  </si>
  <si>
    <t>2024-11-13</t>
  </si>
  <si>
    <t>2024-12-11</t>
  </si>
  <si>
    <t>PO-00019</t>
  </si>
  <si>
    <t>2024-12-31</t>
  </si>
  <si>
    <t>PO-00020</t>
  </si>
  <si>
    <t>2024-06-12</t>
  </si>
  <si>
    <t>2024-06-28</t>
  </si>
  <si>
    <t>PO-00021</t>
  </si>
  <si>
    <t>2025-01-05</t>
  </si>
  <si>
    <t>2025-02-16</t>
  </si>
  <si>
    <t>2025-02-19</t>
  </si>
  <si>
    <t>NO</t>
  </si>
  <si>
    <t>PO-00022</t>
  </si>
  <si>
    <t>Rift Valley Traders</t>
  </si>
  <si>
    <t>2024-12-17</t>
  </si>
  <si>
    <t>2025-01-12</t>
  </si>
  <si>
    <t>PO-00023</t>
  </si>
  <si>
    <t>2024-03-11</t>
  </si>
  <si>
    <t>2024-04-17</t>
  </si>
  <si>
    <t>PO-00024</t>
  </si>
  <si>
    <t>Construction Materials</t>
  </si>
  <si>
    <t>2024-05-17</t>
  </si>
  <si>
    <t>PO-00025</t>
  </si>
  <si>
    <t>2024-10-09</t>
  </si>
  <si>
    <t>2024-11-04</t>
  </si>
  <si>
    <t>PO-00026</t>
  </si>
  <si>
    <t>2025-12-02</t>
  </si>
  <si>
    <t>2025-12-14</t>
  </si>
  <si>
    <t>PO-00027</t>
  </si>
  <si>
    <t>2025-03-26</t>
  </si>
  <si>
    <t>2025-05-01</t>
  </si>
  <si>
    <t>PO-00028</t>
  </si>
  <si>
    <t>2025-07-07</t>
  </si>
  <si>
    <t>2025-08-04</t>
  </si>
  <si>
    <t>PO-00029</t>
  </si>
  <si>
    <t>2025-09-17</t>
  </si>
  <si>
    <t>2025-10-24</t>
  </si>
  <si>
    <t>PO-00030</t>
  </si>
  <si>
    <t>2025-02-04</t>
  </si>
  <si>
    <t>2025-03-15</t>
  </si>
  <si>
    <t>PO-00031</t>
  </si>
  <si>
    <t>2024-02-08</t>
  </si>
  <si>
    <t>PO-00032</t>
  </si>
  <si>
    <t>2025-11-11</t>
  </si>
  <si>
    <t>2025-12-09</t>
  </si>
  <si>
    <t>PO-00033</t>
  </si>
  <si>
    <t>2025-12-25</t>
  </si>
  <si>
    <t>2026-01-12</t>
  </si>
  <si>
    <t>PO-00034</t>
  </si>
  <si>
    <t>2024-02-18</t>
  </si>
  <si>
    <t>2024-04-02</t>
  </si>
  <si>
    <t>PO-00035</t>
  </si>
  <si>
    <t>2025-08-07</t>
  </si>
  <si>
    <t>2025-09-21</t>
  </si>
  <si>
    <t>PO-00036</t>
  </si>
  <si>
    <t>2024-10-18</t>
  </si>
  <si>
    <t>2024-11-07</t>
  </si>
  <si>
    <t>PO-00037</t>
  </si>
  <si>
    <t>2024-04-25</t>
  </si>
  <si>
    <t>2024-05-30</t>
  </si>
  <si>
    <t>PO-00038</t>
  </si>
  <si>
    <t>2025-03-27</t>
  </si>
  <si>
    <t>2025-04-30</t>
  </si>
  <si>
    <t>PO-00039</t>
  </si>
  <si>
    <t>2024-11-26</t>
  </si>
  <si>
    <t>PO-00040</t>
  </si>
  <si>
    <t>2025-04-07</t>
  </si>
  <si>
    <t>2025-05-19</t>
  </si>
  <si>
    <t>PO-00041</t>
  </si>
  <si>
    <t>2025-08-10</t>
  </si>
  <si>
    <t>2025-09-13</t>
  </si>
  <si>
    <t>PO-00042</t>
  </si>
  <si>
    <t>2025-08-05</t>
  </si>
  <si>
    <t>2025-09-08</t>
  </si>
  <si>
    <t>PO-00043</t>
  </si>
  <si>
    <t>2024-11-15</t>
  </si>
  <si>
    <t>2024-12-01</t>
  </si>
  <si>
    <t>PO-00044</t>
  </si>
  <si>
    <t>2024-01-18</t>
  </si>
  <si>
    <t>PO-00045</t>
  </si>
  <si>
    <t>2025-03-21</t>
  </si>
  <si>
    <t>2025-04-08</t>
  </si>
  <si>
    <t>PO-00046</t>
  </si>
  <si>
    <t>2025-09-24</t>
  </si>
  <si>
    <t>PO-00047</t>
  </si>
  <si>
    <t>2025-11-14</t>
  </si>
  <si>
    <t>2025-11-23</t>
  </si>
  <si>
    <t>PO-00048</t>
  </si>
  <si>
    <t>2025-04-17</t>
  </si>
  <si>
    <t>2025-04-29</t>
  </si>
  <si>
    <t>PO-00049</t>
  </si>
  <si>
    <t>2024-06-07</t>
  </si>
  <si>
    <t>2024-07-17</t>
  </si>
  <si>
    <t>PO-00050</t>
  </si>
  <si>
    <t>2025-03-12</t>
  </si>
  <si>
    <t>PO-00051</t>
  </si>
  <si>
    <t>2024-12-13</t>
  </si>
  <si>
    <t>2025-01-25</t>
  </si>
  <si>
    <t>PO-00052</t>
  </si>
  <si>
    <t>2025-06-28</t>
  </si>
  <si>
    <t>PO-00053</t>
  </si>
  <si>
    <t>2024-03-01</t>
  </si>
  <si>
    <t>2024-04-07</t>
  </si>
  <si>
    <t>PO-00054</t>
  </si>
  <si>
    <t>2024-05-16</t>
  </si>
  <si>
    <t>2024-06-23</t>
  </si>
  <si>
    <t>PO-00055</t>
  </si>
  <si>
    <t>2024-01-09</t>
  </si>
  <si>
    <t>2024-02-02</t>
  </si>
  <si>
    <t>PO-00056</t>
  </si>
  <si>
    <t>2024-11-27</t>
  </si>
  <si>
    <t>2025-01-01</t>
  </si>
  <si>
    <t>PO-00057</t>
  </si>
  <si>
    <t>2025-04-23</t>
  </si>
  <si>
    <t>PO-00058</t>
  </si>
  <si>
    <t>2025-09-10</t>
  </si>
  <si>
    <t>PO-00059</t>
  </si>
  <si>
    <t>2024-05-21</t>
  </si>
  <si>
    <t>2024-06-04</t>
  </si>
  <si>
    <t>PO-00060</t>
  </si>
  <si>
    <t>2025-06-17</t>
  </si>
  <si>
    <t>2025-07-18</t>
  </si>
  <si>
    <t>PO-00061</t>
  </si>
  <si>
    <t>2025-01-21</t>
  </si>
  <si>
    <t>PO-00062</t>
  </si>
  <si>
    <t>2024-05-11</t>
  </si>
  <si>
    <t>PO-00063</t>
  </si>
  <si>
    <t>2025-05-15</t>
  </si>
  <si>
    <t>PO-00064</t>
  </si>
  <si>
    <t>2025-05-14</t>
  </si>
  <si>
    <t>2025-05-21</t>
  </si>
  <si>
    <t>PO-00065</t>
  </si>
  <si>
    <t>2024-08-31</t>
  </si>
  <si>
    <t>PO-00066</t>
  </si>
  <si>
    <t>2025-02-02</t>
  </si>
  <si>
    <t>2025-03-19</t>
  </si>
  <si>
    <t>PO-00067</t>
  </si>
  <si>
    <t>2025-07-20</t>
  </si>
  <si>
    <t>2025-08-20</t>
  </si>
  <si>
    <t>PO-00068</t>
  </si>
  <si>
    <t>2025-07-15</t>
  </si>
  <si>
    <t>2025-07-26</t>
  </si>
  <si>
    <t>PO-00069</t>
  </si>
  <si>
    <t>2024-04-13</t>
  </si>
  <si>
    <t>2024-05-06</t>
  </si>
  <si>
    <t>PO-00070</t>
  </si>
  <si>
    <t>2024-04-23</t>
  </si>
  <si>
    <t>PO-00071</t>
  </si>
  <si>
    <t>2024-11-28</t>
  </si>
  <si>
    <t>PO-00072</t>
  </si>
  <si>
    <t>2024-11-03</t>
  </si>
  <si>
    <t>2024-11-12</t>
  </si>
  <si>
    <t>PO-00073</t>
  </si>
  <si>
    <t>2025-05-22</t>
  </si>
  <si>
    <t>2025-05-31</t>
  </si>
  <si>
    <t>PO-00074</t>
  </si>
  <si>
    <t>2024-03-05</t>
  </si>
  <si>
    <t>PO-00075</t>
  </si>
  <si>
    <t>2024-01-24</t>
  </si>
  <si>
    <t>2024-03-12</t>
  </si>
  <si>
    <t>PO-00076</t>
  </si>
  <si>
    <t>2024-10-07</t>
  </si>
  <si>
    <t>PO-00077</t>
  </si>
  <si>
    <t>2024-01-21</t>
  </si>
  <si>
    <t>PO-00078</t>
  </si>
  <si>
    <t>2025-11-25</t>
  </si>
  <si>
    <t>2025-12-26</t>
  </si>
  <si>
    <t>PO-00079</t>
  </si>
  <si>
    <t>2025-06-30</t>
  </si>
  <si>
    <t>PO-00080</t>
  </si>
  <si>
    <t>2024-08-03</t>
  </si>
  <si>
    <t>2024-08-11</t>
  </si>
  <si>
    <t>PO-00081</t>
  </si>
  <si>
    <t>2024-09-10</t>
  </si>
  <si>
    <t>PO-00082</t>
  </si>
  <si>
    <t>2025-10-03</t>
  </si>
  <si>
    <t>PO-00083</t>
  </si>
  <si>
    <t>2025-09-09</t>
  </si>
  <si>
    <t>2025-10-20</t>
  </si>
  <si>
    <t>PO-00084</t>
  </si>
  <si>
    <t>2024-06-02</t>
  </si>
  <si>
    <t>2024-07-09</t>
  </si>
  <si>
    <t>PO-00085</t>
  </si>
  <si>
    <t>2024-05-15</t>
  </si>
  <si>
    <t>2024-05-25</t>
  </si>
  <si>
    <t>PO-00086</t>
  </si>
  <si>
    <t>2024-03-20</t>
  </si>
  <si>
    <t>PO-00087</t>
  </si>
  <si>
    <t>2024-03-21</t>
  </si>
  <si>
    <t>PO-00088</t>
  </si>
  <si>
    <t>2025-07-14</t>
  </si>
  <si>
    <t>PO-00089</t>
  </si>
  <si>
    <t>2025-06-20</t>
  </si>
  <si>
    <t>PO-00090</t>
  </si>
  <si>
    <t>2024-01-23</t>
  </si>
  <si>
    <t>2024-02-27</t>
  </si>
  <si>
    <t>PO-00091</t>
  </si>
  <si>
    <t>2024-07-23</t>
  </si>
  <si>
    <t>2024-07-31</t>
  </si>
  <si>
    <t>PO-00092</t>
  </si>
  <si>
    <t>2024-01-20</t>
  </si>
  <si>
    <t>2024-02-22</t>
  </si>
  <si>
    <t>PO-00093</t>
  </si>
  <si>
    <t>2024-05-07</t>
  </si>
  <si>
    <t>2024-05-31</t>
  </si>
  <si>
    <t>PO-00094</t>
  </si>
  <si>
    <t>2025-07-25</t>
  </si>
  <si>
    <t>2025-09-01</t>
  </si>
  <si>
    <t>PO-00095</t>
  </si>
  <si>
    <t>2025-12-08</t>
  </si>
  <si>
    <t>2025-12-15</t>
  </si>
  <si>
    <t>PO-00096</t>
  </si>
  <si>
    <t>2024-02-07</t>
  </si>
  <si>
    <t>2024-03-14</t>
  </si>
  <si>
    <t>PO-00097</t>
  </si>
  <si>
    <t>2024-01-14</t>
  </si>
  <si>
    <t>2024-01-30</t>
  </si>
  <si>
    <t>PO-00098</t>
  </si>
  <si>
    <t>2025-04-04</t>
  </si>
  <si>
    <t>PO-00099</t>
  </si>
  <si>
    <t>2025-10-27</t>
  </si>
  <si>
    <t>2025-11-09</t>
  </si>
  <si>
    <t>PO-00100</t>
  </si>
  <si>
    <t>2025-06-29</t>
  </si>
  <si>
    <t>PO-00101</t>
  </si>
  <si>
    <t>2025-07-27</t>
  </si>
  <si>
    <t>2025-08-17</t>
  </si>
  <si>
    <t>PO-00102</t>
  </si>
  <si>
    <t>2025-03-07</t>
  </si>
  <si>
    <t>PO-00103</t>
  </si>
  <si>
    <t>2024-05-02</t>
  </si>
  <si>
    <t>PO-00104</t>
  </si>
  <si>
    <t>2025-08-11</t>
  </si>
  <si>
    <t>2025-09-04</t>
  </si>
  <si>
    <t>PO-00105</t>
  </si>
  <si>
    <t>2024-11-09</t>
  </si>
  <si>
    <t>2024-12-15</t>
  </si>
  <si>
    <t>PO-00106</t>
  </si>
  <si>
    <t>2024-12-28</t>
  </si>
  <si>
    <t>PO-00107</t>
  </si>
  <si>
    <t>2024-08-21</t>
  </si>
  <si>
    <t>2024-10-04</t>
  </si>
  <si>
    <t>PO-00108</t>
  </si>
  <si>
    <t>2025-03-18</t>
  </si>
  <si>
    <t>2025-03-28</t>
  </si>
  <si>
    <t>PO-00109</t>
  </si>
  <si>
    <t>2024-09-16</t>
  </si>
  <si>
    <t>2024-09-25</t>
  </si>
  <si>
    <t>PO-00110</t>
  </si>
  <si>
    <t>2025-02-07</t>
  </si>
  <si>
    <t>2025-03-14</t>
  </si>
  <si>
    <t>PO-00111</t>
  </si>
  <si>
    <t>2024-06-06</t>
  </si>
  <si>
    <t>2024-06-17</t>
  </si>
  <si>
    <t>PO-00112</t>
  </si>
  <si>
    <t>2024-12-18</t>
  </si>
  <si>
    <t>PO-00113</t>
  </si>
  <si>
    <t>2024-05-22</t>
  </si>
  <si>
    <t>2024-06-09</t>
  </si>
  <si>
    <t>PO-00114</t>
  </si>
  <si>
    <t>2024-01-15</t>
  </si>
  <si>
    <t>2024-02-12</t>
  </si>
  <si>
    <t>PO-00115</t>
  </si>
  <si>
    <t>2025-04-24</t>
  </si>
  <si>
    <t>2025-05-06</t>
  </si>
  <si>
    <t>PO-00116</t>
  </si>
  <si>
    <t>2025-01-04</t>
  </si>
  <si>
    <t>2025-01-14</t>
  </si>
  <si>
    <t>PO-00117</t>
  </si>
  <si>
    <t>2024-05-13</t>
  </si>
  <si>
    <t>2024-06-24</t>
  </si>
  <si>
    <t>PO-00118</t>
  </si>
  <si>
    <t>2025-03-01</t>
  </si>
  <si>
    <t>PO-00119</t>
  </si>
  <si>
    <t>2024-12-25</t>
  </si>
  <si>
    <t>2025-01-23</t>
  </si>
  <si>
    <t>PO-00120</t>
  </si>
  <si>
    <t>2025-04-11</t>
  </si>
  <si>
    <t>PO-00121</t>
  </si>
  <si>
    <t>2025-10-19</t>
  </si>
  <si>
    <t>PO-00122</t>
  </si>
  <si>
    <t>2024-07-26</t>
  </si>
  <si>
    <t>2024-08-07</t>
  </si>
  <si>
    <t>PO-00123</t>
  </si>
  <si>
    <t>2024-10-23</t>
  </si>
  <si>
    <t>2024-11-08</t>
  </si>
  <si>
    <t>PO-00124</t>
  </si>
  <si>
    <t>2024-05-04</t>
  </si>
  <si>
    <t>2024-06-10</t>
  </si>
  <si>
    <t>PO-00125</t>
  </si>
  <si>
    <t>2024-11-10</t>
  </si>
  <si>
    <t>2024-12-20</t>
  </si>
  <si>
    <t>PO-00126</t>
  </si>
  <si>
    <t>PO-00127</t>
  </si>
  <si>
    <t>2025-06-13</t>
  </si>
  <si>
    <t>PO-00128</t>
  </si>
  <si>
    <t>PO-00129</t>
  </si>
  <si>
    <t>2025-11-10</t>
  </si>
  <si>
    <t>PO-00130</t>
  </si>
  <si>
    <t>2024-11-25</t>
  </si>
  <si>
    <t>2024-12-22</t>
  </si>
  <si>
    <t>PO-00131</t>
  </si>
  <si>
    <t>2025-08-08</t>
  </si>
  <si>
    <t>2025-08-22</t>
  </si>
  <si>
    <t>PO-00132</t>
  </si>
  <si>
    <t>2025-09-27</t>
  </si>
  <si>
    <t>PO-00133</t>
  </si>
  <si>
    <t>2025-04-27</t>
  </si>
  <si>
    <t>2025-06-09</t>
  </si>
  <si>
    <t>PO-00134</t>
  </si>
  <si>
    <t>2024-05-24</t>
  </si>
  <si>
    <t>2024-06-30</t>
  </si>
  <si>
    <t>PO-00135</t>
  </si>
  <si>
    <t>2025-11-24</t>
  </si>
  <si>
    <t>PO-00136</t>
  </si>
  <si>
    <t>2025-04-03</t>
  </si>
  <si>
    <t>2025-05-18</t>
  </si>
  <si>
    <t>PO-00137</t>
  </si>
  <si>
    <t>2025-02-17</t>
  </si>
  <si>
    <t>PO-00138</t>
  </si>
  <si>
    <t>2026-02-04</t>
  </si>
  <si>
    <t>PO-00139</t>
  </si>
  <si>
    <t>2024-02-06</t>
  </si>
  <si>
    <t>PO-00140</t>
  </si>
  <si>
    <t>2024-11-06</t>
  </si>
  <si>
    <t>PO-00141</t>
  </si>
  <si>
    <t>2024-02-01</t>
  </si>
  <si>
    <t>PO-00142</t>
  </si>
  <si>
    <t>2025-12-05</t>
  </si>
  <si>
    <t>2025-12-21</t>
  </si>
  <si>
    <t>PO-00143</t>
  </si>
  <si>
    <t>2025-10-16</t>
  </si>
  <si>
    <t>2025-10-28</t>
  </si>
  <si>
    <t>2025-11-08</t>
  </si>
  <si>
    <t>PO-00144</t>
  </si>
  <si>
    <t>PO-00145</t>
  </si>
  <si>
    <t>2025-08-21</t>
  </si>
  <si>
    <t>PO-00146</t>
  </si>
  <si>
    <t>PO-00147</t>
  </si>
  <si>
    <t>2025-08-24</t>
  </si>
  <si>
    <t>PO-00148</t>
  </si>
  <si>
    <t>2025-07-19</t>
  </si>
  <si>
    <t>2025-08-31</t>
  </si>
  <si>
    <t>PO-00149</t>
  </si>
  <si>
    <t>2025-12-07</t>
  </si>
  <si>
    <t>PO-00150</t>
  </si>
  <si>
    <t>2025-06-03</t>
  </si>
  <si>
    <t>PO-00151</t>
  </si>
  <si>
    <t>2024-04-01</t>
  </si>
  <si>
    <t>PO-00152</t>
  </si>
  <si>
    <t>2025-10-06</t>
  </si>
  <si>
    <t>2025-11-02</t>
  </si>
  <si>
    <t>PO-00153</t>
  </si>
  <si>
    <t>PO-00154</t>
  </si>
  <si>
    <t>2025-05-04</t>
  </si>
  <si>
    <t>2025-06-01</t>
  </si>
  <si>
    <t>PO-00155</t>
  </si>
  <si>
    <t>PO-00156</t>
  </si>
  <si>
    <t>2025-11-27</t>
  </si>
  <si>
    <t>2025-12-30</t>
  </si>
  <si>
    <t>PO-00157</t>
  </si>
  <si>
    <t>PO-00158</t>
  </si>
  <si>
    <t>2025-10-23</t>
  </si>
  <si>
    <t>2025-10-31</t>
  </si>
  <si>
    <t>PO-00159</t>
  </si>
  <si>
    <t>2025-12-19</t>
  </si>
  <si>
    <t>2026-01-03</t>
  </si>
  <si>
    <t>PO-00160</t>
  </si>
  <si>
    <t>2024-08-06</t>
  </si>
  <si>
    <t>2024-09-09</t>
  </si>
  <si>
    <t>PO-00161</t>
  </si>
  <si>
    <t>2025-10-10</t>
  </si>
  <si>
    <t>PO-00162</t>
  </si>
  <si>
    <t>2025-05-17</t>
  </si>
  <si>
    <t>PO-00163</t>
  </si>
  <si>
    <t>2024-09-23</t>
  </si>
  <si>
    <t>2024-10-17</t>
  </si>
  <si>
    <t>PO-00164</t>
  </si>
  <si>
    <t>PO-00165</t>
  </si>
  <si>
    <t>2024-04-30</t>
  </si>
  <si>
    <t>PO-00166</t>
  </si>
  <si>
    <t>PO-00167</t>
  </si>
  <si>
    <t>PO-00168</t>
  </si>
  <si>
    <t>2025-03-24</t>
  </si>
  <si>
    <t>PO-00169</t>
  </si>
  <si>
    <t>2025-01-10</t>
  </si>
  <si>
    <t>PO-00170</t>
  </si>
  <si>
    <t>2024-08-17</t>
  </si>
  <si>
    <t>PO-00171</t>
  </si>
  <si>
    <t>PO-00172</t>
  </si>
  <si>
    <t>2025-09-15</t>
  </si>
  <si>
    <t>2025-09-29</t>
  </si>
  <si>
    <t>PO-00173</t>
  </si>
  <si>
    <t>2025-11-03</t>
  </si>
  <si>
    <t>2025-11-22</t>
  </si>
  <si>
    <t>PO-00174</t>
  </si>
  <si>
    <t>2024-07-05</t>
  </si>
  <si>
    <t>2024-08-18</t>
  </si>
  <si>
    <t>PO-00175</t>
  </si>
  <si>
    <t>PO-00176</t>
  </si>
  <si>
    <t>2024-08-20</t>
  </si>
  <si>
    <t>PO-00177</t>
  </si>
  <si>
    <t>2024-12-27</t>
  </si>
  <si>
    <t>2025-02-10</t>
  </si>
  <si>
    <t>PO-00178</t>
  </si>
  <si>
    <t>PO-00179</t>
  </si>
  <si>
    <t>PO-00180</t>
  </si>
  <si>
    <t>2025-09-12</t>
  </si>
  <si>
    <t>PO-00181</t>
  </si>
  <si>
    <t>2025-07-21</t>
  </si>
  <si>
    <t>PO-00182</t>
  </si>
  <si>
    <t>2024-01-05</t>
  </si>
  <si>
    <t>2024-02-16</t>
  </si>
  <si>
    <t>PO-00183</t>
  </si>
  <si>
    <t>2025-03-23</t>
  </si>
  <si>
    <t>2025-04-02</t>
  </si>
  <si>
    <t>PO-00184</t>
  </si>
  <si>
    <t>2024-06-15</t>
  </si>
  <si>
    <t>PO-00185</t>
  </si>
  <si>
    <t>2024-04-03</t>
  </si>
  <si>
    <t>PO-00186</t>
  </si>
  <si>
    <t>2024-06-21</t>
  </si>
  <si>
    <t>PO-00187</t>
  </si>
  <si>
    <t>PO-00188</t>
  </si>
  <si>
    <t>PO-00189</t>
  </si>
  <si>
    <t>2025-01-03</t>
  </si>
  <si>
    <t>PO-00190</t>
  </si>
  <si>
    <t>PO-00191</t>
  </si>
  <si>
    <t>2024-07-21</t>
  </si>
  <si>
    <t>PO-00192</t>
  </si>
  <si>
    <t>2025-05-08</t>
  </si>
  <si>
    <t>2025-06-21</t>
  </si>
  <si>
    <t>PO-00193</t>
  </si>
  <si>
    <t>2024-02-10</t>
  </si>
  <si>
    <t>PO-00194</t>
  </si>
  <si>
    <t>2024-03-26</t>
  </si>
  <si>
    <t>PO-00195</t>
  </si>
  <si>
    <t>2024-10-11</t>
  </si>
  <si>
    <t>2024-10-31</t>
  </si>
  <si>
    <t>PO-00196</t>
  </si>
  <si>
    <t>2024-03-23</t>
  </si>
  <si>
    <t>2024-05-05</t>
  </si>
  <si>
    <t>PO-00197</t>
  </si>
  <si>
    <t>2024-09-07</t>
  </si>
  <si>
    <t>2024-09-29</t>
  </si>
  <si>
    <t>PO-00198</t>
  </si>
  <si>
    <t>2025-01-27</t>
  </si>
  <si>
    <t>PO-00199</t>
  </si>
  <si>
    <t>2025-07-12</t>
  </si>
  <si>
    <t>PO-00200</t>
  </si>
  <si>
    <t>PO-00201</t>
  </si>
  <si>
    <t>2025-06-15</t>
  </si>
  <si>
    <t>2025-07-08</t>
  </si>
  <si>
    <t>PO-00202</t>
  </si>
  <si>
    <t>2024-01-26</t>
  </si>
  <si>
    <t>2024-02-03</t>
  </si>
  <si>
    <t>PO-00203</t>
  </si>
  <si>
    <t>2025-06-07</t>
  </si>
  <si>
    <t>PO-00204</t>
  </si>
  <si>
    <t>2025-08-15</t>
  </si>
  <si>
    <t>PO-00205</t>
  </si>
  <si>
    <t>2024-01-03</t>
  </si>
  <si>
    <t>2024-01-25</t>
  </si>
  <si>
    <t>PO-00206</t>
  </si>
  <si>
    <t>2025-11-20</t>
  </si>
  <si>
    <t>2025-12-23</t>
  </si>
  <si>
    <t>PO-00207</t>
  </si>
  <si>
    <t>PO-00208</t>
  </si>
  <si>
    <t>2024-03-16</t>
  </si>
  <si>
    <t>2024-04-15</t>
  </si>
  <si>
    <t>PO-00209</t>
  </si>
  <si>
    <t>2024-02-24</t>
  </si>
  <si>
    <t>2024-03-17</t>
  </si>
  <si>
    <t>PO-00210</t>
  </si>
  <si>
    <t>2024-07-06</t>
  </si>
  <si>
    <t>2024-08-10</t>
  </si>
  <si>
    <t>PO-00211</t>
  </si>
  <si>
    <t>2024-07-24</t>
  </si>
  <si>
    <t>PO-00212</t>
  </si>
  <si>
    <t>PO-00213</t>
  </si>
  <si>
    <t>PO-00214</t>
  </si>
  <si>
    <t>PO-00215</t>
  </si>
  <si>
    <t>2024-10-05</t>
  </si>
  <si>
    <t>PO-00216</t>
  </si>
  <si>
    <t>2024-10-15</t>
  </si>
  <si>
    <t>PO-00217</t>
  </si>
  <si>
    <t>2025-04-09</t>
  </si>
  <si>
    <t>PO-00218</t>
  </si>
  <si>
    <t>PO-00219</t>
  </si>
  <si>
    <t>2025-09-28</t>
  </si>
  <si>
    <t>PO-00220</t>
  </si>
  <si>
    <t>2024-07-08</t>
  </si>
  <si>
    <t>2024-07-16</t>
  </si>
  <si>
    <t>PO-00221</t>
  </si>
  <si>
    <t>2025-03-08</t>
  </si>
  <si>
    <t>PO-00222</t>
  </si>
  <si>
    <t>PO-00223</t>
  </si>
  <si>
    <t>PO-00224</t>
  </si>
  <si>
    <t>PO-00225</t>
  </si>
  <si>
    <t>PO-00226</t>
  </si>
  <si>
    <t>PO-00227</t>
  </si>
  <si>
    <t>2025-01-02</t>
  </si>
  <si>
    <t>PO-00228</t>
  </si>
  <si>
    <t>PO-00229</t>
  </si>
  <si>
    <t>2025-02-20</t>
  </si>
  <si>
    <t>PO-00230</t>
  </si>
  <si>
    <t>2025-01-31</t>
  </si>
  <si>
    <t>PO-00231</t>
  </si>
  <si>
    <t>2024-08-12</t>
  </si>
  <si>
    <t>2024-09-08</t>
  </si>
  <si>
    <t>PO-00232</t>
  </si>
  <si>
    <t>PO-00233</t>
  </si>
  <si>
    <t>2024-12-16</t>
  </si>
  <si>
    <t>PO-00234</t>
  </si>
  <si>
    <t>2025-06-11</t>
  </si>
  <si>
    <t>PO-00235</t>
  </si>
  <si>
    <t>2025-01-06</t>
  </si>
  <si>
    <t>2025-01-20</t>
  </si>
  <si>
    <t>PO-00236</t>
  </si>
  <si>
    <t>2024-04-27</t>
  </si>
  <si>
    <t>PO-00237</t>
  </si>
  <si>
    <t>2024-08-26</t>
  </si>
  <si>
    <t>2024-09-12</t>
  </si>
  <si>
    <t>PO-00238</t>
  </si>
  <si>
    <t>PO-00239</t>
  </si>
  <si>
    <t>PO-00240</t>
  </si>
  <si>
    <t>2024-01-07</t>
  </si>
  <si>
    <t>2024-02-20</t>
  </si>
  <si>
    <t>PO-00241</t>
  </si>
  <si>
    <t>PO-00242</t>
  </si>
  <si>
    <t>2024-02-23</t>
  </si>
  <si>
    <t>PO-00243</t>
  </si>
  <si>
    <t>2025-12-10</t>
  </si>
  <si>
    <t>2025-12-20</t>
  </si>
  <si>
    <t>PO-00244</t>
  </si>
  <si>
    <t>2024-04-08</t>
  </si>
  <si>
    <t>PO-00245</t>
  </si>
  <si>
    <t>2024-10-20</t>
  </si>
  <si>
    <t>2024-12-04</t>
  </si>
  <si>
    <t>PO-00246</t>
  </si>
  <si>
    <t>2024-03-19</t>
  </si>
  <si>
    <t>PO-00247</t>
  </si>
  <si>
    <t>2025-06-25</t>
  </si>
  <si>
    <t>PO-00248</t>
  </si>
  <si>
    <t>2024-10-19</t>
  </si>
  <si>
    <t>2024-11-22</t>
  </si>
  <si>
    <t>PO-00249</t>
  </si>
  <si>
    <t>2025-10-05</t>
  </si>
  <si>
    <t>PO-00250</t>
  </si>
  <si>
    <t>2026-01-23</t>
  </si>
  <si>
    <t>PO-00251</t>
  </si>
  <si>
    <t>2026-01-15</t>
  </si>
  <si>
    <t>PO-00252</t>
  </si>
  <si>
    <t>2025-04-20</t>
  </si>
  <si>
    <t>2025-05-03</t>
  </si>
  <si>
    <t>PO-00253</t>
  </si>
  <si>
    <t>PO-00254</t>
  </si>
  <si>
    <t>2024-10-06</t>
  </si>
  <si>
    <t>PO-00255</t>
  </si>
  <si>
    <t>2026-01-18</t>
  </si>
  <si>
    <t>PO-00256</t>
  </si>
  <si>
    <t>2024-08-23</t>
  </si>
  <si>
    <t>2024-09-26</t>
  </si>
  <si>
    <t>PO-00257</t>
  </si>
  <si>
    <t>2024-11-18</t>
  </si>
  <si>
    <t>PO-00258</t>
  </si>
  <si>
    <t>2025-10-08</t>
  </si>
  <si>
    <t>PO-00259</t>
  </si>
  <si>
    <t>2024-09-18</t>
  </si>
  <si>
    <t>2024-10-25</t>
  </si>
  <si>
    <t>PO-00260</t>
  </si>
  <si>
    <t>PO-00261</t>
  </si>
  <si>
    <t>2025-07-11</t>
  </si>
  <si>
    <t>PO-00262</t>
  </si>
  <si>
    <t>2025-02-21</t>
  </si>
  <si>
    <t>2025-04-06</t>
  </si>
  <si>
    <t>PO-00263</t>
  </si>
  <si>
    <t>2024-06-25</t>
  </si>
  <si>
    <t>PO-00264</t>
  </si>
  <si>
    <t>2024-04-09</t>
  </si>
  <si>
    <t>PO-00265</t>
  </si>
  <si>
    <t>2025-06-14</t>
  </si>
  <si>
    <t>PO-00266</t>
  </si>
  <si>
    <t>2024-09-11</t>
  </si>
  <si>
    <t>PO-00267</t>
  </si>
  <si>
    <t>2025-04-10</t>
  </si>
  <si>
    <t>2025-05-05</t>
  </si>
  <si>
    <t>PO-00268</t>
  </si>
  <si>
    <t>2025-08-27</t>
  </si>
  <si>
    <t>PO-00269</t>
  </si>
  <si>
    <t>PO-00270</t>
  </si>
  <si>
    <t>2025-11-04</t>
  </si>
  <si>
    <t>2025-11-29</t>
  </si>
  <si>
    <t>PO-00271</t>
  </si>
  <si>
    <t>PO-00272</t>
  </si>
  <si>
    <t>2024-08-04</t>
  </si>
  <si>
    <t>2024-08-24</t>
  </si>
  <si>
    <t>PO-00273</t>
  </si>
  <si>
    <t>2025-02-09</t>
  </si>
  <si>
    <t>PO-00274</t>
  </si>
  <si>
    <t>PO-00275</t>
  </si>
  <si>
    <t>2025-03-31</t>
  </si>
  <si>
    <t>PO-00276</t>
  </si>
  <si>
    <t>PO-00277</t>
  </si>
  <si>
    <t>2025-11-28</t>
  </si>
  <si>
    <t>2026-01-02</t>
  </si>
  <si>
    <t>PO-00278</t>
  </si>
  <si>
    <t>2025-02-08</t>
  </si>
  <si>
    <t>PO-00279</t>
  </si>
  <si>
    <t>2024-12-03</t>
  </si>
  <si>
    <t>PO-00280</t>
  </si>
  <si>
    <t>PO-00281</t>
  </si>
  <si>
    <t>2024-08-05</t>
  </si>
  <si>
    <t>PO-00282</t>
  </si>
  <si>
    <t>2024-11-24</t>
  </si>
  <si>
    <t>2024-12-29</t>
  </si>
  <si>
    <t>PO-00283</t>
  </si>
  <si>
    <t>PO-00284</t>
  </si>
  <si>
    <t>PO-00285</t>
  </si>
  <si>
    <t>2024-11-01</t>
  </si>
  <si>
    <t>2024-11-30</t>
  </si>
  <si>
    <t>2024-12-05</t>
  </si>
  <si>
    <t>PO-00286</t>
  </si>
  <si>
    <t>2024-06-08</t>
  </si>
  <si>
    <t>2024-07-19</t>
  </si>
  <si>
    <t>PO-00287</t>
  </si>
  <si>
    <t>2025-02-27</t>
  </si>
  <si>
    <t>PO-00288</t>
  </si>
  <si>
    <t>PO-00289</t>
  </si>
  <si>
    <t>2024-04-24</t>
  </si>
  <si>
    <t>PO-00290</t>
  </si>
  <si>
    <t>2024-05-27</t>
  </si>
  <si>
    <t>PO-00291</t>
  </si>
  <si>
    <t>2025-05-16</t>
  </si>
  <si>
    <t>PO-00292</t>
  </si>
  <si>
    <t>2024-09-13</t>
  </si>
  <si>
    <t>2024-10-12</t>
  </si>
  <si>
    <t>PO-00293</t>
  </si>
  <si>
    <t>2024-04-21</t>
  </si>
  <si>
    <t>PO-00294</t>
  </si>
  <si>
    <t>2024-07-07</t>
  </si>
  <si>
    <t>PO-00295</t>
  </si>
  <si>
    <t>2024-08-16</t>
  </si>
  <si>
    <t>PO-00296</t>
  </si>
  <si>
    <t>2025-03-16</t>
  </si>
  <si>
    <t>PO-00297</t>
  </si>
  <si>
    <t>2024-02-28</t>
  </si>
  <si>
    <t>PO-00298</t>
  </si>
  <si>
    <t>2025-06-12</t>
  </si>
  <si>
    <t>PO-00299</t>
  </si>
  <si>
    <t>PO-00300</t>
  </si>
  <si>
    <t>2024-02-09</t>
  </si>
  <si>
    <t>2024-03-06</t>
  </si>
  <si>
    <t>PO-00301</t>
  </si>
  <si>
    <t>2024-08-08</t>
  </si>
  <si>
    <t>PO-00302</t>
  </si>
  <si>
    <t>2025-08-23</t>
  </si>
  <si>
    <t>2025-09-25</t>
  </si>
  <si>
    <t>PO-00303</t>
  </si>
  <si>
    <t>PO-00304</t>
  </si>
  <si>
    <t>2024-09-05</t>
  </si>
  <si>
    <t>PO-00305</t>
  </si>
  <si>
    <t>PO-00306</t>
  </si>
  <si>
    <t>2024-10-16</t>
  </si>
  <si>
    <t>PO-00307</t>
  </si>
  <si>
    <t>PO-00308</t>
  </si>
  <si>
    <t>2025-06-10</t>
  </si>
  <si>
    <t>PO-00309</t>
  </si>
  <si>
    <t>PO-00310</t>
  </si>
  <si>
    <t>2026-02-06</t>
  </si>
  <si>
    <t>PO-00311</t>
  </si>
  <si>
    <t>2025-01-22</t>
  </si>
  <si>
    <t>2025-02-14</t>
  </si>
  <si>
    <t>PO-00312</t>
  </si>
  <si>
    <t>2024-09-24</t>
  </si>
  <si>
    <t>2024-10-21</t>
  </si>
  <si>
    <t>PO-00313</t>
  </si>
  <si>
    <t>2025-11-16</t>
  </si>
  <si>
    <t>PO-00314</t>
  </si>
  <si>
    <t>2025-03-30</t>
  </si>
  <si>
    <t>PO-00315</t>
  </si>
  <si>
    <t>PO-00316</t>
  </si>
  <si>
    <t>2024-03-09</t>
  </si>
  <si>
    <t>PO-00317</t>
  </si>
  <si>
    <t>2025-08-29</t>
  </si>
  <si>
    <t>PO-00318</t>
  </si>
  <si>
    <t>2025-10-26</t>
  </si>
  <si>
    <t>2025-11-17</t>
  </si>
  <si>
    <t>PO-00319</t>
  </si>
  <si>
    <t>2024-12-07</t>
  </si>
  <si>
    <t>2024-12-24</t>
  </si>
  <si>
    <t>PO-00320</t>
  </si>
  <si>
    <t>2025-11-26</t>
  </si>
  <si>
    <t>2026-01-09</t>
  </si>
  <si>
    <t>PO-00321</t>
  </si>
  <si>
    <t>2025-11-18</t>
  </si>
  <si>
    <t>PO-00322</t>
  </si>
  <si>
    <t>PO-00323</t>
  </si>
  <si>
    <t>2025-10-02</t>
  </si>
  <si>
    <t>PO-00324</t>
  </si>
  <si>
    <t>2025-02-23</t>
  </si>
  <si>
    <t>PO-00325</t>
  </si>
  <si>
    <t>2025-05-26</t>
  </si>
  <si>
    <t>PO-00326</t>
  </si>
  <si>
    <t>PO-00327</t>
  </si>
  <si>
    <t>2024-09-22</t>
  </si>
  <si>
    <t>PO-00328</t>
  </si>
  <si>
    <t>2024-03-15</t>
  </si>
  <si>
    <t>2024-03-27</t>
  </si>
  <si>
    <t>PO-00329</t>
  </si>
  <si>
    <t>PO-00330</t>
  </si>
  <si>
    <t>2024-10-24</t>
  </si>
  <si>
    <t>PO-00331</t>
  </si>
  <si>
    <t>2024-06-14</t>
  </si>
  <si>
    <t>2024-07-27</t>
  </si>
  <si>
    <t>PO-00332</t>
  </si>
  <si>
    <t>2024-10-28</t>
  </si>
  <si>
    <t>PO-00333</t>
  </si>
  <si>
    <t>2025-05-25</t>
  </si>
  <si>
    <t>2025-07-05</t>
  </si>
  <si>
    <t>PO-00334</t>
  </si>
  <si>
    <t>PO-00335</t>
  </si>
  <si>
    <t>2025-07-22</t>
  </si>
  <si>
    <t>PO-00336</t>
  </si>
  <si>
    <t>2024-03-03</t>
  </si>
  <si>
    <t>2024-04-05</t>
  </si>
  <si>
    <t>PO-00337</t>
  </si>
  <si>
    <t>2024-10-10</t>
  </si>
  <si>
    <t>PO-00338</t>
  </si>
  <si>
    <t>2025-06-26</t>
  </si>
  <si>
    <t>PO-00339</t>
  </si>
  <si>
    <t>2025-05-23</t>
  </si>
  <si>
    <t>2025-06-05</t>
  </si>
  <si>
    <t>PO-00340</t>
  </si>
  <si>
    <t>2024-10-27</t>
  </si>
  <si>
    <t>PO-00341</t>
  </si>
  <si>
    <t>2024-02-15</t>
  </si>
  <si>
    <t>PO-00342</t>
  </si>
  <si>
    <t>2024-01-19</t>
  </si>
  <si>
    <t>PO-00343</t>
  </si>
  <si>
    <t>PO-00344</t>
  </si>
  <si>
    <t>PO-00345</t>
  </si>
  <si>
    <t>2026-02-07</t>
  </si>
  <si>
    <t>PO-00346</t>
  </si>
  <si>
    <t>2024-07-12</t>
  </si>
  <si>
    <t>PO-00347</t>
  </si>
  <si>
    <t>2025-04-18</t>
  </si>
  <si>
    <t>2025-04-28</t>
  </si>
  <si>
    <t>PO-00348</t>
  </si>
  <si>
    <t>PO-00349</t>
  </si>
  <si>
    <t>2024-08-22</t>
  </si>
  <si>
    <t>2024-09-01</t>
  </si>
  <si>
    <t>PO-00350</t>
  </si>
  <si>
    <t>2024-02-29</t>
  </si>
  <si>
    <t>PO-00351</t>
  </si>
  <si>
    <t>PO-00352</t>
  </si>
  <si>
    <t>2024-07-02</t>
  </si>
  <si>
    <t>2024-08-09</t>
  </si>
  <si>
    <t>PO-00353</t>
  </si>
  <si>
    <t>PO-00354</t>
  </si>
  <si>
    <t>2025-03-06</t>
  </si>
  <si>
    <t>PO-00355</t>
  </si>
  <si>
    <t>2025-07-03</t>
  </si>
  <si>
    <t>PO-00356</t>
  </si>
  <si>
    <t>PO-00357</t>
  </si>
  <si>
    <t>2024-10-30</t>
  </si>
  <si>
    <t>PO-00358</t>
  </si>
  <si>
    <t>2024-01-06</t>
  </si>
  <si>
    <t>PO-00359</t>
  </si>
  <si>
    <t>2025-06-06</t>
  </si>
  <si>
    <t>PO-00360</t>
  </si>
  <si>
    <t>PO-00361</t>
  </si>
  <si>
    <t>2025-08-01</t>
  </si>
  <si>
    <t>PO-00362</t>
  </si>
  <si>
    <t>2024-05-09</t>
  </si>
  <si>
    <t>PO-00363</t>
  </si>
  <si>
    <t>PO-00364</t>
  </si>
  <si>
    <t>PO-00365</t>
  </si>
  <si>
    <t>PO-00366</t>
  </si>
  <si>
    <t>2024-08-25</t>
  </si>
  <si>
    <t>PO-00367</t>
  </si>
  <si>
    <t>2025-02-13</t>
  </si>
  <si>
    <t>2025-03-29</t>
  </si>
  <si>
    <t>PO-00368</t>
  </si>
  <si>
    <t>PO-00369</t>
  </si>
  <si>
    <t>2024-06-29</t>
  </si>
  <si>
    <t>PO-00370</t>
  </si>
  <si>
    <t>PO-00371</t>
  </si>
  <si>
    <t>2025-02-26</t>
  </si>
  <si>
    <t>PO-00372</t>
  </si>
  <si>
    <t>PO-00373</t>
  </si>
  <si>
    <t>2024-09-15</t>
  </si>
  <si>
    <t>PO-00374</t>
  </si>
  <si>
    <t>2024-01-10</t>
  </si>
  <si>
    <t>2024-01-31</t>
  </si>
  <si>
    <t>PO-00375</t>
  </si>
  <si>
    <t>PO-00376</t>
  </si>
  <si>
    <t>2025-01-26</t>
  </si>
  <si>
    <t>PO-00377</t>
  </si>
  <si>
    <t>2025-09-18</t>
  </si>
  <si>
    <t>PO-00378</t>
  </si>
  <si>
    <t>PO-00379</t>
  </si>
  <si>
    <t>PO-00380</t>
  </si>
  <si>
    <t>2024-10-08</t>
  </si>
  <si>
    <t>PO-00381</t>
  </si>
  <si>
    <t>2024-01-28</t>
  </si>
  <si>
    <t>PO-00382</t>
  </si>
  <si>
    <t>PO-00383</t>
  </si>
  <si>
    <t>PO-00384</t>
  </si>
  <si>
    <t>2025-05-09</t>
  </si>
  <si>
    <t>PO-00385</t>
  </si>
  <si>
    <t>2025-10-07</t>
  </si>
  <si>
    <t>2025-11-15</t>
  </si>
  <si>
    <t>PO-00386</t>
  </si>
  <si>
    <t>PO-00387</t>
  </si>
  <si>
    <t>PO-00388</t>
  </si>
  <si>
    <t>PO-00389</t>
  </si>
  <si>
    <t>2025-11-13</t>
  </si>
  <si>
    <t>2025-12-17</t>
  </si>
  <si>
    <t>PO-00390</t>
  </si>
  <si>
    <t>2025-08-06</t>
  </si>
  <si>
    <t>PO-00391</t>
  </si>
  <si>
    <t>PO-00392</t>
  </si>
  <si>
    <t>2024-05-28</t>
  </si>
  <si>
    <t>PO-00393</t>
  </si>
  <si>
    <t>PO-00394</t>
  </si>
  <si>
    <t>PO-00395</t>
  </si>
  <si>
    <t>PO-00396</t>
  </si>
  <si>
    <t>2024-06-11</t>
  </si>
  <si>
    <t>PO-00397</t>
  </si>
  <si>
    <t>2024-02-11</t>
  </si>
  <si>
    <t>PO-00398</t>
  </si>
  <si>
    <t>PO-00399</t>
  </si>
  <si>
    <t>2024-04-04</t>
  </si>
  <si>
    <t>PO-00400</t>
  </si>
  <si>
    <t>2025-04-26</t>
  </si>
  <si>
    <t>PO-00401</t>
  </si>
  <si>
    <t>2024-12-08</t>
  </si>
  <si>
    <t>PO-00402</t>
  </si>
  <si>
    <t>2025-10-11</t>
  </si>
  <si>
    <t>PO-00403</t>
  </si>
  <si>
    <t>PO-00404</t>
  </si>
  <si>
    <t>PO-00405</t>
  </si>
  <si>
    <t>PO-00406</t>
  </si>
  <si>
    <t>2025-08-28</t>
  </si>
  <si>
    <t>PO-00407</t>
  </si>
  <si>
    <t>2024-01-04</t>
  </si>
  <si>
    <t>2024-01-17</t>
  </si>
  <si>
    <t>PO-00408</t>
  </si>
  <si>
    <t>PO-00409</t>
  </si>
  <si>
    <t>2026-01-21</t>
  </si>
  <si>
    <t>PO-00410</t>
  </si>
  <si>
    <t>PO-00411</t>
  </si>
  <si>
    <t>PO-00412</t>
  </si>
  <si>
    <t>PO-00413</t>
  </si>
  <si>
    <t>2024-09-30</t>
  </si>
  <si>
    <t>PO-00414</t>
  </si>
  <si>
    <t>PO-00415</t>
  </si>
  <si>
    <t>2024-11-17</t>
  </si>
  <si>
    <t>PO-00416</t>
  </si>
  <si>
    <t>2024-12-02</t>
  </si>
  <si>
    <t>PO-00417</t>
  </si>
  <si>
    <t>2025-07-30</t>
  </si>
  <si>
    <t>PO-00418</t>
  </si>
  <si>
    <t>2024-03-25</t>
  </si>
  <si>
    <t>2024-04-12</t>
  </si>
  <si>
    <t>PO-00419</t>
  </si>
  <si>
    <t>2024-03-10</t>
  </si>
  <si>
    <t>PO-00420</t>
  </si>
  <si>
    <t>2025-12-01</t>
  </si>
  <si>
    <t>PO-00421</t>
  </si>
  <si>
    <t>2025-07-02</t>
  </si>
  <si>
    <t>PO-00422</t>
  </si>
  <si>
    <t>2024-09-21</t>
  </si>
  <si>
    <t>PO-00423</t>
  </si>
  <si>
    <t>PO-00424</t>
  </si>
  <si>
    <t>2025-08-25</t>
  </si>
  <si>
    <t>PO-00425</t>
  </si>
  <si>
    <t>2024-07-20</t>
  </si>
  <si>
    <t>PO-00426</t>
  </si>
  <si>
    <t>PO-00427</t>
  </si>
  <si>
    <t>PO-00428</t>
  </si>
  <si>
    <t>2024-07-13</t>
  </si>
  <si>
    <t>2024-07-29</t>
  </si>
  <si>
    <t>PO-00429</t>
  </si>
  <si>
    <t>2025-02-22</t>
  </si>
  <si>
    <t>PO-00430</t>
  </si>
  <si>
    <t>2025-07-09</t>
  </si>
  <si>
    <t>2025-08-12</t>
  </si>
  <si>
    <t>PO-00431</t>
  </si>
  <si>
    <t>2025-05-11</t>
  </si>
  <si>
    <t>PO-00432</t>
  </si>
  <si>
    <t>PO-00433</t>
  </si>
  <si>
    <t>PO-00434</t>
  </si>
  <si>
    <t>2025-11-12</t>
  </si>
  <si>
    <t>2025-11-30</t>
  </si>
  <si>
    <t>PO-00435</t>
  </si>
  <si>
    <t>PO-00436</t>
  </si>
  <si>
    <t>2024-11-23</t>
  </si>
  <si>
    <t>PO-00437</t>
  </si>
  <si>
    <t>2025-01-17</t>
  </si>
  <si>
    <t>PO-00438</t>
  </si>
  <si>
    <t>PO-00439</t>
  </si>
  <si>
    <t>2025-03-03</t>
  </si>
  <si>
    <t>PO-00440</t>
  </si>
  <si>
    <t>2025-01-11</t>
  </si>
  <si>
    <t>PO-00441</t>
  </si>
  <si>
    <t>PO-00442</t>
  </si>
  <si>
    <t>PO-00443</t>
  </si>
  <si>
    <t>2024-04-06</t>
  </si>
  <si>
    <t>PO-00444</t>
  </si>
  <si>
    <t>2025-12-18</t>
  </si>
  <si>
    <t>2026-01-22</t>
  </si>
  <si>
    <t>PO-00445</t>
  </si>
  <si>
    <t>2025-08-14</t>
  </si>
  <si>
    <t>PO-00446</t>
  </si>
  <si>
    <t>PO-00447</t>
  </si>
  <si>
    <t>2025-01-28</t>
  </si>
  <si>
    <t>2025-02-11</t>
  </si>
  <si>
    <t>PO-00448</t>
  </si>
  <si>
    <t>2025-12-03</t>
  </si>
  <si>
    <t>PO-00449</t>
  </si>
  <si>
    <t>PO-00450</t>
  </si>
  <si>
    <t>2024-08-13</t>
  </si>
  <si>
    <t>PO-00451</t>
  </si>
  <si>
    <t>PO-00452</t>
  </si>
  <si>
    <t>2025-04-15</t>
  </si>
  <si>
    <t>PO-00453</t>
  </si>
  <si>
    <t>2026-01-30</t>
  </si>
  <si>
    <t>PO-00454</t>
  </si>
  <si>
    <t>PO-00455</t>
  </si>
  <si>
    <t>PO-00456</t>
  </si>
  <si>
    <t>2025-02-06</t>
  </si>
  <si>
    <t>PO-00457</t>
  </si>
  <si>
    <t>2024-03-07</t>
  </si>
  <si>
    <t>PO-00458</t>
  </si>
  <si>
    <t>PO-00459</t>
  </si>
  <si>
    <t>2024-05-03</t>
  </si>
  <si>
    <t>PO-00460</t>
  </si>
  <si>
    <t>PO-00461</t>
  </si>
  <si>
    <t>2025-12-13</t>
  </si>
  <si>
    <t>2026-01-24</t>
  </si>
  <si>
    <t>PO-00462</t>
  </si>
  <si>
    <t>PO-00463</t>
  </si>
  <si>
    <t>PO-00464</t>
  </si>
  <si>
    <t>PO-00465</t>
  </si>
  <si>
    <t>2025-12-11</t>
  </si>
  <si>
    <t>2026-01-19</t>
  </si>
  <si>
    <t>PO-00466</t>
  </si>
  <si>
    <t>PO-00467</t>
  </si>
  <si>
    <t>2025-01-07</t>
  </si>
  <si>
    <t>PO-00468</t>
  </si>
  <si>
    <t>PO-00469</t>
  </si>
  <si>
    <t>PO-00470</t>
  </si>
  <si>
    <t>2025-09-23</t>
  </si>
  <si>
    <t>PO-00471</t>
  </si>
  <si>
    <t>PO-00472</t>
  </si>
  <si>
    <t>PO-00473</t>
  </si>
  <si>
    <t>PO-00474</t>
  </si>
  <si>
    <t>PO-00475</t>
  </si>
  <si>
    <t>PO-00476</t>
  </si>
  <si>
    <t>2024-04-28</t>
  </si>
  <si>
    <t>PO-00477</t>
  </si>
  <si>
    <t>2024-06-22</t>
  </si>
  <si>
    <t>PO-00478</t>
  </si>
  <si>
    <t>2025-07-01</t>
  </si>
  <si>
    <t>PO-00479</t>
  </si>
  <si>
    <t>2025-01-13</t>
  </si>
  <si>
    <t>PO-00480</t>
  </si>
  <si>
    <t>Delivery ID</t>
  </si>
  <si>
    <t>Route</t>
  </si>
  <si>
    <t>Origin</t>
  </si>
  <si>
    <t>Destination</t>
  </si>
  <si>
    <t>Distance (km)</t>
  </si>
  <si>
    <t>Scheduled Date</t>
  </si>
  <si>
    <t>Actual Date</t>
  </si>
  <si>
    <t>Scheduled Hours</t>
  </si>
  <si>
    <t>Actual Hours</t>
  </si>
  <si>
    <t>Delay (hrs)</t>
  </si>
  <si>
    <t>Driver</t>
  </si>
  <si>
    <t>Load Type</t>
  </si>
  <si>
    <t>Load Weight (T)</t>
  </si>
  <si>
    <t>Delivery Status</t>
  </si>
  <si>
    <t>Delay Reason</t>
  </si>
  <si>
    <t>Cost (KES)</t>
  </si>
  <si>
    <t>DL-0001</t>
  </si>
  <si>
    <t>Mombasa→Nairobi</t>
  </si>
  <si>
    <t>Driver K</t>
  </si>
  <si>
    <t>Food Supplies</t>
  </si>
  <si>
    <t>In Progress</t>
  </si>
  <si>
    <t>DL-0002</t>
  </si>
  <si>
    <t>Nakuru→Nairobi</t>
  </si>
  <si>
    <t>Driver D</t>
  </si>
  <si>
    <t>Machinery</t>
  </si>
  <si>
    <t>Completed</t>
  </si>
  <si>
    <t>Weather</t>
  </si>
  <si>
    <t>DL-0003</t>
  </si>
  <si>
    <t>Nairobi→Nyeri</t>
  </si>
  <si>
    <t>Fuel</t>
  </si>
  <si>
    <t>Cancelled</t>
  </si>
  <si>
    <t>DL-0004</t>
  </si>
  <si>
    <t>Nairobi→Kisumu</t>
  </si>
  <si>
    <t>Driver E</t>
  </si>
  <si>
    <t>Electronics</t>
  </si>
  <si>
    <t>DL-0005</t>
  </si>
  <si>
    <t>Nairobi→Machakos</t>
  </si>
  <si>
    <t>2024-01-08</t>
  </si>
  <si>
    <t>Driver M</t>
  </si>
  <si>
    <t>Load Issue</t>
  </si>
  <si>
    <t>DL-0006</t>
  </si>
  <si>
    <t>Eldoret→Nakuru</t>
  </si>
  <si>
    <t>2025-08-19</t>
  </si>
  <si>
    <t>Driver A</t>
  </si>
  <si>
    <t>No Delay</t>
  </si>
  <si>
    <t>DL-0007</t>
  </si>
  <si>
    <t>Nairobi→Mombasa</t>
  </si>
  <si>
    <t>Driver J</t>
  </si>
  <si>
    <t>Building Materials</t>
  </si>
  <si>
    <t>DL-0008</t>
  </si>
  <si>
    <t>Thika→Garissa</t>
  </si>
  <si>
    <t>2024-05-23</t>
  </si>
  <si>
    <t>DL-0009</t>
  </si>
  <si>
    <t>2024-10-02</t>
  </si>
  <si>
    <t>Aggregates</t>
  </si>
  <si>
    <t>DL-0010</t>
  </si>
  <si>
    <t>Nairobi→Nakuru</t>
  </si>
  <si>
    <t>DL-0011</t>
  </si>
  <si>
    <t>Driver O</t>
  </si>
  <si>
    <t>DL-0012</t>
  </si>
  <si>
    <t>2024-06-27</t>
  </si>
  <si>
    <t>Driver F</t>
  </si>
  <si>
    <t>Breakdown</t>
  </si>
  <si>
    <t>DL-0013</t>
  </si>
  <si>
    <t>DL-0014</t>
  </si>
  <si>
    <t>2025-10-29</t>
  </si>
  <si>
    <t>DL-0015</t>
  </si>
  <si>
    <t>Driver H</t>
  </si>
  <si>
    <t>DL-0016</t>
  </si>
  <si>
    <t>Nairobi→Thika</t>
  </si>
  <si>
    <t>DL-0017</t>
  </si>
  <si>
    <t>Driver C</t>
  </si>
  <si>
    <t>Traffic</t>
  </si>
  <si>
    <t>DL-0018</t>
  </si>
  <si>
    <t>2024-07-14</t>
  </si>
  <si>
    <t>DL-0019</t>
  </si>
  <si>
    <t>Nakuru→Eldoret</t>
  </si>
  <si>
    <t>DL-0020</t>
  </si>
  <si>
    <t>2025-03-04</t>
  </si>
  <si>
    <t>DL-0021</t>
  </si>
  <si>
    <t>DL-0022</t>
  </si>
  <si>
    <t>Driver N</t>
  </si>
  <si>
    <t>DL-0023</t>
  </si>
  <si>
    <t>Kisumu→Nairobi</t>
  </si>
  <si>
    <t>Route Closure</t>
  </si>
  <si>
    <t>DL-0024</t>
  </si>
  <si>
    <t>Mombasa→Malindi</t>
  </si>
  <si>
    <t>Driver B</t>
  </si>
  <si>
    <t>DL-0025</t>
  </si>
  <si>
    <t>Kisumu→Kisii</t>
  </si>
  <si>
    <t>DL-0026</t>
  </si>
  <si>
    <t>2025-01-08</t>
  </si>
  <si>
    <t>DL-0027</t>
  </si>
  <si>
    <t>DL-0028</t>
  </si>
  <si>
    <t>DL-0029</t>
  </si>
  <si>
    <t>DL-0030</t>
  </si>
  <si>
    <t>DL-0031</t>
  </si>
  <si>
    <t>2024-07-03</t>
  </si>
  <si>
    <t>Driver I</t>
  </si>
  <si>
    <t>DL-0032</t>
  </si>
  <si>
    <t>Driver G</t>
  </si>
  <si>
    <t>DL-0033</t>
  </si>
  <si>
    <t>DL-0034</t>
  </si>
  <si>
    <t>2025-05-28</t>
  </si>
  <si>
    <t>2025-05-29</t>
  </si>
  <si>
    <t>Driver L</t>
  </si>
  <si>
    <t>DL-0035</t>
  </si>
  <si>
    <t>2025-03-09</t>
  </si>
  <si>
    <t>2025-03-11</t>
  </si>
  <si>
    <t>DL-0036</t>
  </si>
  <si>
    <t>DL-0037</t>
  </si>
  <si>
    <t>DL-0038</t>
  </si>
  <si>
    <t>DL-0039</t>
  </si>
  <si>
    <t>DL-0040</t>
  </si>
  <si>
    <t>DL-0041</t>
  </si>
  <si>
    <t>DL-0042</t>
  </si>
  <si>
    <t>DL-0043</t>
  </si>
  <si>
    <t>DL-0044</t>
  </si>
  <si>
    <t>DL-0045</t>
  </si>
  <si>
    <t>Eldoret→Kitale</t>
  </si>
  <si>
    <t>DL-0046</t>
  </si>
  <si>
    <t>DL-0047</t>
  </si>
  <si>
    <t>DL-0048</t>
  </si>
  <si>
    <t>DL-0049</t>
  </si>
  <si>
    <t>DL-0050</t>
  </si>
  <si>
    <t>2024-02-19</t>
  </si>
  <si>
    <t>DL-0051</t>
  </si>
  <si>
    <t>2025-06-16</t>
  </si>
  <si>
    <t>DL-0052</t>
  </si>
  <si>
    <t>2025-09-20</t>
  </si>
  <si>
    <t>DL-0053</t>
  </si>
  <si>
    <t>DL-0054</t>
  </si>
  <si>
    <t>DL-0055</t>
  </si>
  <si>
    <t>2024-12-23</t>
  </si>
  <si>
    <t>DL-0056</t>
  </si>
  <si>
    <t>DL-0057</t>
  </si>
  <si>
    <t>DL-0058</t>
  </si>
  <si>
    <t>2024-11-02</t>
  </si>
  <si>
    <t>DL-0059</t>
  </si>
  <si>
    <t>DL-0060</t>
  </si>
  <si>
    <t>2024-07-22</t>
  </si>
  <si>
    <t>DL-0061</t>
  </si>
  <si>
    <t>2025-07-06</t>
  </si>
  <si>
    <t>DL-0062</t>
  </si>
  <si>
    <t>2024-04-10</t>
  </si>
  <si>
    <t>DL-0063</t>
  </si>
  <si>
    <t>DL-0064</t>
  </si>
  <si>
    <t>DL-0065</t>
  </si>
  <si>
    <t>DL-0066</t>
  </si>
  <si>
    <t>DL-0067</t>
  </si>
  <si>
    <t>2025-08-26</t>
  </si>
  <si>
    <t>DL-0068</t>
  </si>
  <si>
    <t>DL-0069</t>
  </si>
  <si>
    <t>DL-0070</t>
  </si>
  <si>
    <t>2025-08-09</t>
  </si>
  <si>
    <t>DL-0071</t>
  </si>
  <si>
    <t>DL-0072</t>
  </si>
  <si>
    <t>DL-0073</t>
  </si>
  <si>
    <t>DL-0074</t>
  </si>
  <si>
    <t>DL-0075</t>
  </si>
  <si>
    <t>DL-0076</t>
  </si>
  <si>
    <t>2025-07-16</t>
  </si>
  <si>
    <t>DL-0077</t>
  </si>
  <si>
    <t>DL-0078</t>
  </si>
  <si>
    <t>2024-07-11</t>
  </si>
  <si>
    <t>DL-0079</t>
  </si>
  <si>
    <t>DL-0080</t>
  </si>
  <si>
    <t>DL-0081</t>
  </si>
  <si>
    <t>DL-0082</t>
  </si>
  <si>
    <t>2024-10-13</t>
  </si>
  <si>
    <t>DL-0083</t>
  </si>
  <si>
    <t>DL-0084</t>
  </si>
  <si>
    <t>DL-0085</t>
  </si>
  <si>
    <t>2024-02-26</t>
  </si>
  <si>
    <t>DL-0086</t>
  </si>
  <si>
    <t>2024-11-11</t>
  </si>
  <si>
    <t>DL-0087</t>
  </si>
  <si>
    <t>2025-07-28</t>
  </si>
  <si>
    <t>DL-0088</t>
  </si>
  <si>
    <t>DL-0089</t>
  </si>
  <si>
    <t>2025-04-19</t>
  </si>
  <si>
    <t>DL-0090</t>
  </si>
  <si>
    <t>DL-0091</t>
  </si>
  <si>
    <t>2025-09-06</t>
  </si>
  <si>
    <t>DL-0092</t>
  </si>
  <si>
    <t>DL-0093</t>
  </si>
  <si>
    <t>DL-0094</t>
  </si>
  <si>
    <t>2024-11-19</t>
  </si>
  <si>
    <t>DL-0095</t>
  </si>
  <si>
    <t>DL-0096</t>
  </si>
  <si>
    <t>DL-0097</t>
  </si>
  <si>
    <t>DL-0098</t>
  </si>
  <si>
    <t>2024-09-17</t>
  </si>
  <si>
    <t>DL-0099</t>
  </si>
  <si>
    <t>DL-0100</t>
  </si>
  <si>
    <t>DL-0101</t>
  </si>
  <si>
    <t>DL-0102</t>
  </si>
  <si>
    <t>DL-0103</t>
  </si>
  <si>
    <t>DL-0104</t>
  </si>
  <si>
    <t>DL-0105</t>
  </si>
  <si>
    <t>2024-10-22</t>
  </si>
  <si>
    <t>DL-0106</t>
  </si>
  <si>
    <t>DL-0107</t>
  </si>
  <si>
    <t>DL-0108</t>
  </si>
  <si>
    <t>DL-0109</t>
  </si>
  <si>
    <t>DL-0110</t>
  </si>
  <si>
    <t>DL-0111</t>
  </si>
  <si>
    <t>2024-12-30</t>
  </si>
  <si>
    <t>DL-0112</t>
  </si>
  <si>
    <t>2025-12-06</t>
  </si>
  <si>
    <t>DL-0113</t>
  </si>
  <si>
    <t>DL-0114</t>
  </si>
  <si>
    <t>DL-0115</t>
  </si>
  <si>
    <t>2025-01-09</t>
  </si>
  <si>
    <t>DL-0116</t>
  </si>
  <si>
    <t>2025-12-16</t>
  </si>
  <si>
    <t>DL-0117</t>
  </si>
  <si>
    <t>DL-0118</t>
  </si>
  <si>
    <t>DL-0119</t>
  </si>
  <si>
    <t>DL-0120</t>
  </si>
  <si>
    <t>DL-0121</t>
  </si>
  <si>
    <t>DL-0122</t>
  </si>
  <si>
    <t>DL-0123</t>
  </si>
  <si>
    <t>DL-0124</t>
  </si>
  <si>
    <t>DL-0125</t>
  </si>
  <si>
    <t>DL-0126</t>
  </si>
  <si>
    <t>DL-0127</t>
  </si>
  <si>
    <t>2025-09-11</t>
  </si>
  <si>
    <t>DL-0128</t>
  </si>
  <si>
    <t>DL-0129</t>
  </si>
  <si>
    <t>DL-0130</t>
  </si>
  <si>
    <t>DL-0131</t>
  </si>
  <si>
    <t>DL-0132</t>
  </si>
  <si>
    <t>DL-0133</t>
  </si>
  <si>
    <t>DL-0134</t>
  </si>
  <si>
    <t>DL-0135</t>
  </si>
  <si>
    <t>DL-0136</t>
  </si>
  <si>
    <t>DL-0137</t>
  </si>
  <si>
    <t>2025-02-05</t>
  </si>
  <si>
    <t>DL-0138</t>
  </si>
  <si>
    <t>2025-01-18</t>
  </si>
  <si>
    <t>DL-0139</t>
  </si>
  <si>
    <t>DL-0140</t>
  </si>
  <si>
    <t>DL-0141</t>
  </si>
  <si>
    <t>DL-0142</t>
  </si>
  <si>
    <t>DL-0143</t>
  </si>
  <si>
    <t>DL-0144</t>
  </si>
  <si>
    <t>DL-0145</t>
  </si>
  <si>
    <t>DL-0146</t>
  </si>
  <si>
    <t>DL-0147</t>
  </si>
  <si>
    <t>DL-0148</t>
  </si>
  <si>
    <t>DL-0149</t>
  </si>
  <si>
    <t>DL-0150</t>
  </si>
  <si>
    <t>DL-0151</t>
  </si>
  <si>
    <t>DL-0152</t>
  </si>
  <si>
    <t>DL-0153</t>
  </si>
  <si>
    <t>DL-0154</t>
  </si>
  <si>
    <t>DL-0155</t>
  </si>
  <si>
    <t>DL-0156</t>
  </si>
  <si>
    <t>DL-0157</t>
  </si>
  <si>
    <t>DL-0158</t>
  </si>
  <si>
    <t>DL-0159</t>
  </si>
  <si>
    <t>DL-0160</t>
  </si>
  <si>
    <t>DL-0161</t>
  </si>
  <si>
    <t>DL-0162</t>
  </si>
  <si>
    <t>DL-0163</t>
  </si>
  <si>
    <t>DL-0164</t>
  </si>
  <si>
    <t>DL-0165</t>
  </si>
  <si>
    <t>DL-0166</t>
  </si>
  <si>
    <t>2024-01-29</t>
  </si>
  <si>
    <t>DL-0167</t>
  </si>
  <si>
    <t>DL-0168</t>
  </si>
  <si>
    <t>DL-0169</t>
  </si>
  <si>
    <t>2024-01-12</t>
  </si>
  <si>
    <t>DL-0170</t>
  </si>
  <si>
    <t>2024-02-13</t>
  </si>
  <si>
    <t>DL-0171</t>
  </si>
  <si>
    <t>DL-0172</t>
  </si>
  <si>
    <t>DL-0173</t>
  </si>
  <si>
    <t>DL-0174</t>
  </si>
  <si>
    <t>DL-0175</t>
  </si>
  <si>
    <t>2025-03-13</t>
  </si>
  <si>
    <t>DL-0176</t>
  </si>
  <si>
    <t>2025-06-19</t>
  </si>
  <si>
    <t>DL-0177</t>
  </si>
  <si>
    <t>2025-05-30</t>
  </si>
  <si>
    <t>DL-0178</t>
  </si>
  <si>
    <t>2024-05-20</t>
  </si>
  <si>
    <t>DL-0179</t>
  </si>
  <si>
    <t>DL-0180</t>
  </si>
  <si>
    <t>2025-01-19</t>
  </si>
  <si>
    <t>DL-0181</t>
  </si>
  <si>
    <t>DL-0182</t>
  </si>
  <si>
    <t>DL-0183</t>
  </si>
  <si>
    <t>DL-0184</t>
  </si>
  <si>
    <t>DL-0185</t>
  </si>
  <si>
    <t>DL-0186</t>
  </si>
  <si>
    <t>DL-0187</t>
  </si>
  <si>
    <t>2025-06-24</t>
  </si>
  <si>
    <t>DL-0188</t>
  </si>
  <si>
    <t>DL-0189</t>
  </si>
  <si>
    <t>DL-0190</t>
  </si>
  <si>
    <t>DL-0191</t>
  </si>
  <si>
    <t>DL-0192</t>
  </si>
  <si>
    <t>DL-0193</t>
  </si>
  <si>
    <t>DL-0194</t>
  </si>
  <si>
    <t>2024-12-06</t>
  </si>
  <si>
    <t>DL-0195</t>
  </si>
  <si>
    <t>DL-0196</t>
  </si>
  <si>
    <t>DL-0197</t>
  </si>
  <si>
    <t>2024-07-18</t>
  </si>
  <si>
    <t>DL-0198</t>
  </si>
  <si>
    <t>DL-0199</t>
  </si>
  <si>
    <t>2024-09-20</t>
  </si>
  <si>
    <t>DL-0200</t>
  </si>
  <si>
    <t>DL-0201</t>
  </si>
  <si>
    <t>2024-05-26</t>
  </si>
  <si>
    <t>DL-0202</t>
  </si>
  <si>
    <t>DL-0203</t>
  </si>
  <si>
    <t>DL-0204</t>
  </si>
  <si>
    <t>DL-0205</t>
  </si>
  <si>
    <t>2025-02-18</t>
  </si>
  <si>
    <t>DL-0206</t>
  </si>
  <si>
    <t>2025-09-22</t>
  </si>
  <si>
    <t>DL-0207</t>
  </si>
  <si>
    <t>DL-0208</t>
  </si>
  <si>
    <t>DL-0209</t>
  </si>
  <si>
    <t>2025-10-14</t>
  </si>
  <si>
    <t>DL-0210</t>
  </si>
  <si>
    <t>DL-0211</t>
  </si>
  <si>
    <t>DL-0212</t>
  </si>
  <si>
    <t>DL-0213</t>
  </si>
  <si>
    <t>DL-0214</t>
  </si>
  <si>
    <t>DL-0215</t>
  </si>
  <si>
    <t>DL-0216</t>
  </si>
  <si>
    <t>DL-0217</t>
  </si>
  <si>
    <t>DL-0218</t>
  </si>
  <si>
    <t>DL-0219</t>
  </si>
  <si>
    <t>DL-0220</t>
  </si>
  <si>
    <t>DL-0221</t>
  </si>
  <si>
    <t>DL-0222</t>
  </si>
  <si>
    <t>DL-0223</t>
  </si>
  <si>
    <t>2025-09-16</t>
  </si>
  <si>
    <t>DL-0224</t>
  </si>
  <si>
    <t>DL-0225</t>
  </si>
  <si>
    <t>DL-0226</t>
  </si>
  <si>
    <t>DL-0227</t>
  </si>
  <si>
    <t>DL-0228</t>
  </si>
  <si>
    <t>DL-0229</t>
  </si>
  <si>
    <t>DL-0230</t>
  </si>
  <si>
    <t>DL-0231</t>
  </si>
  <si>
    <t>DL-0232</t>
  </si>
  <si>
    <t>DL-0233</t>
  </si>
  <si>
    <t>DL-0234</t>
  </si>
  <si>
    <t>DL-0235</t>
  </si>
  <si>
    <t>DL-0236</t>
  </si>
  <si>
    <t>DL-0237</t>
  </si>
  <si>
    <t>DL-0238</t>
  </si>
  <si>
    <t>DL-0239</t>
  </si>
  <si>
    <t>DL-0240</t>
  </si>
  <si>
    <t>2025-10-21</t>
  </si>
  <si>
    <t>DL-0241</t>
  </si>
  <si>
    <t>DL-0242</t>
  </si>
  <si>
    <t>DL-0243</t>
  </si>
  <si>
    <t>DL-0244</t>
  </si>
  <si>
    <t>DL-0245</t>
  </si>
  <si>
    <t>DL-0246</t>
  </si>
  <si>
    <t>DL-0247</t>
  </si>
  <si>
    <t>DL-0248</t>
  </si>
  <si>
    <t>2025-03-10</t>
  </si>
  <si>
    <t>DL-0249</t>
  </si>
  <si>
    <t>DL-0250</t>
  </si>
  <si>
    <t>DL-0251</t>
  </si>
  <si>
    <t>DL-0252</t>
  </si>
  <si>
    <t>DL-0253</t>
  </si>
  <si>
    <t>DL-0254</t>
  </si>
  <si>
    <t>2025-10-15</t>
  </si>
  <si>
    <t>DL-0255</t>
  </si>
  <si>
    <t>DL-0256</t>
  </si>
  <si>
    <t>DL-0257</t>
  </si>
  <si>
    <t>DL-0258</t>
  </si>
  <si>
    <t>DL-0259</t>
  </si>
  <si>
    <t>DL-0260</t>
  </si>
  <si>
    <t>DL-0261</t>
  </si>
  <si>
    <t>DL-0262</t>
  </si>
  <si>
    <t>2024-04-20</t>
  </si>
  <si>
    <t>DL-0263</t>
  </si>
  <si>
    <t>DL-0264</t>
  </si>
  <si>
    <t>DL-0265</t>
  </si>
  <si>
    <t>2024-11-29</t>
  </si>
  <si>
    <t>DL-0266</t>
  </si>
  <si>
    <t>DL-0267</t>
  </si>
  <si>
    <t>DL-0268</t>
  </si>
  <si>
    <t>DL-0269</t>
  </si>
  <si>
    <t>DL-0270</t>
  </si>
  <si>
    <t>2024-05-12</t>
  </si>
  <si>
    <t>DL-0271</t>
  </si>
  <si>
    <t>DL-0272</t>
  </si>
  <si>
    <t>DL-0273</t>
  </si>
  <si>
    <t>DL-0274</t>
  </si>
  <si>
    <t>2024-04-19</t>
  </si>
  <si>
    <t>DL-0275</t>
  </si>
  <si>
    <t>DL-0276</t>
  </si>
  <si>
    <t>DL-0277</t>
  </si>
  <si>
    <t>DL-0278</t>
  </si>
  <si>
    <t>2025-09-14</t>
  </si>
  <si>
    <t>DL-0279</t>
  </si>
  <si>
    <t>2024-11-14</t>
  </si>
  <si>
    <t>DL-0280</t>
  </si>
  <si>
    <t>2025-05-10</t>
  </si>
  <si>
    <t>DL-0281</t>
  </si>
  <si>
    <t>2024-05-18</t>
  </si>
  <si>
    <t>DL-0282</t>
  </si>
  <si>
    <t>DL-0283</t>
  </si>
  <si>
    <t>DL-0284</t>
  </si>
  <si>
    <t>DL-0285</t>
  </si>
  <si>
    <t>DL-0286</t>
  </si>
  <si>
    <t>DL-0287</t>
  </si>
  <si>
    <t>DL-0288</t>
  </si>
  <si>
    <t>2024-06-05</t>
  </si>
  <si>
    <t>DL-0289</t>
  </si>
  <si>
    <t>DL-0290</t>
  </si>
  <si>
    <t>DL-0291</t>
  </si>
  <si>
    <t>2025-12-04</t>
  </si>
  <si>
    <t>DL-0292</t>
  </si>
  <si>
    <t>2024-03-28</t>
  </si>
  <si>
    <t>2024-03-30</t>
  </si>
  <si>
    <t>DL-0293</t>
  </si>
  <si>
    <t>DL-0294</t>
  </si>
  <si>
    <t>DL-0295</t>
  </si>
  <si>
    <t>DL-0296</t>
  </si>
  <si>
    <t>DL-0297</t>
  </si>
  <si>
    <t>DL-0298</t>
  </si>
  <si>
    <t>2025-03-17</t>
  </si>
  <si>
    <t>DL-0299</t>
  </si>
  <si>
    <t>DL-0300</t>
  </si>
  <si>
    <t>DL-0301</t>
  </si>
  <si>
    <t>DL-0302</t>
  </si>
  <si>
    <t>DL-0303</t>
  </si>
  <si>
    <t>DL-0304</t>
  </si>
  <si>
    <t>DL-0305</t>
  </si>
  <si>
    <t>DL-0306</t>
  </si>
  <si>
    <t>2025-10-09</t>
  </si>
  <si>
    <t>DL-0307</t>
  </si>
  <si>
    <t>DL-0308</t>
  </si>
  <si>
    <t>DL-0309</t>
  </si>
  <si>
    <t>DL-0310</t>
  </si>
  <si>
    <t>2024-04-26</t>
  </si>
  <si>
    <t>DL-0311</t>
  </si>
  <si>
    <t>DL-0312</t>
  </si>
  <si>
    <t>DL-0313</t>
  </si>
  <si>
    <t>DL-0314</t>
  </si>
  <si>
    <t>DL-0315</t>
  </si>
  <si>
    <t>DL-0316</t>
  </si>
  <si>
    <t>DL-0317</t>
  </si>
  <si>
    <t>DL-0318</t>
  </si>
  <si>
    <t>2024-09-03</t>
  </si>
  <si>
    <t>DL-0319</t>
  </si>
  <si>
    <t>DL-0320</t>
  </si>
  <si>
    <t>DL-0321</t>
  </si>
  <si>
    <t>DL-0322</t>
  </si>
  <si>
    <t>DL-0323</t>
  </si>
  <si>
    <t>DL-0324</t>
  </si>
  <si>
    <t>DL-0325</t>
  </si>
  <si>
    <t>DL-0326</t>
  </si>
  <si>
    <t>DL-0327</t>
  </si>
  <si>
    <t>2024-03-18</t>
  </si>
  <si>
    <t>DL-0328</t>
  </si>
  <si>
    <t>DL-0329</t>
  </si>
  <si>
    <t>DL-0330</t>
  </si>
  <si>
    <t>DL-0331</t>
  </si>
  <si>
    <t>DL-0332</t>
  </si>
  <si>
    <t>2024-07-28</t>
  </si>
  <si>
    <t>DL-0333</t>
  </si>
  <si>
    <t>DL-0334</t>
  </si>
  <si>
    <t>DL-0335</t>
  </si>
  <si>
    <t>2024-12-26</t>
  </si>
  <si>
    <t>DL-0336</t>
  </si>
  <si>
    <t>2025-10-12</t>
  </si>
  <si>
    <t>DL-0337</t>
  </si>
  <si>
    <t>2024-03-04</t>
  </si>
  <si>
    <t>DL-0338</t>
  </si>
  <si>
    <t>DL-0339</t>
  </si>
  <si>
    <t>2025-10-22</t>
  </si>
  <si>
    <t>DL-0340</t>
  </si>
  <si>
    <t>DL-0341</t>
  </si>
  <si>
    <t>DL-0342</t>
  </si>
  <si>
    <t>DL-0343</t>
  </si>
  <si>
    <t>DL-0344</t>
  </si>
  <si>
    <t>DL-0345</t>
  </si>
  <si>
    <t>DL-0346</t>
  </si>
  <si>
    <t>2025-11-01</t>
  </si>
  <si>
    <t>DL-0347</t>
  </si>
  <si>
    <t>DL-0348</t>
  </si>
  <si>
    <t>DL-0349</t>
  </si>
  <si>
    <t>DL-0350</t>
  </si>
  <si>
    <t>DL-0351</t>
  </si>
  <si>
    <t>DL-0352</t>
  </si>
  <si>
    <t>DL-0353</t>
  </si>
  <si>
    <t>DL-0354</t>
  </si>
  <si>
    <t>DL-0355</t>
  </si>
  <si>
    <t>2025-05-27</t>
  </si>
  <si>
    <t>DL-0356</t>
  </si>
  <si>
    <t>2025-05-02</t>
  </si>
  <si>
    <t>DL-0357</t>
  </si>
  <si>
    <t>DL-0358</t>
  </si>
  <si>
    <t>DL-0359</t>
  </si>
  <si>
    <t>DL-0360</t>
  </si>
  <si>
    <t>DL-0361</t>
  </si>
  <si>
    <t>DL-0362</t>
  </si>
  <si>
    <t>2025-07-23</t>
  </si>
  <si>
    <t>DL-0363</t>
  </si>
  <si>
    <t>DL-0364</t>
  </si>
  <si>
    <t>DL-0365</t>
  </si>
  <si>
    <t>DL-0366</t>
  </si>
  <si>
    <t>DL-0367</t>
  </si>
  <si>
    <t>DL-0368</t>
  </si>
  <si>
    <t>DL-0369</t>
  </si>
  <si>
    <t>DL-0370</t>
  </si>
  <si>
    <t>DL-0371</t>
  </si>
  <si>
    <t>DL-0372</t>
  </si>
  <si>
    <t>DL-0373</t>
  </si>
  <si>
    <t>DL-0374</t>
  </si>
  <si>
    <t>DL-0375</t>
  </si>
  <si>
    <t>DL-0376</t>
  </si>
  <si>
    <t>DL-0377</t>
  </si>
  <si>
    <t>DL-0378</t>
  </si>
  <si>
    <t>DL-0379</t>
  </si>
  <si>
    <t>DL-0380</t>
  </si>
  <si>
    <t>DL-0381</t>
  </si>
  <si>
    <t>DL-0382</t>
  </si>
  <si>
    <t>DL-0383</t>
  </si>
  <si>
    <t>DL-0384</t>
  </si>
  <si>
    <t>DL-0385</t>
  </si>
  <si>
    <t>DL-0386</t>
  </si>
  <si>
    <t>DL-0387</t>
  </si>
  <si>
    <t>DL-0388</t>
  </si>
  <si>
    <t>DL-0389</t>
  </si>
  <si>
    <t>DL-0390</t>
  </si>
  <si>
    <t>DL-0391</t>
  </si>
  <si>
    <t>2024-09-27</t>
  </si>
  <si>
    <t>2024-09-28</t>
  </si>
  <si>
    <t>DL-0392</t>
  </si>
  <si>
    <t>DL-0393</t>
  </si>
  <si>
    <t>DL-0394</t>
  </si>
  <si>
    <t>DL-0395</t>
  </si>
  <si>
    <t>DL-0396</t>
  </si>
  <si>
    <t>2025-04-21</t>
  </si>
  <si>
    <t>DL-0397</t>
  </si>
  <si>
    <t>DL-0398</t>
  </si>
  <si>
    <t>DL-0399</t>
  </si>
  <si>
    <t>DL-0400</t>
  </si>
  <si>
    <t>KENYA FLEET &amp; LOGISTICS — INTERACTIVE CHARTS DASHBOARD</t>
  </si>
  <si>
    <t>Visual analysis of fleet costs, machinery utilization, PO trends &amp; delivery performance across Kenya</t>
  </si>
  <si>
    <t>Fleet by Vehicle Type</t>
  </si>
  <si>
    <t>Count</t>
  </si>
  <si>
    <t>Monthly PO Value Trend (2024–2025)</t>
  </si>
  <si>
    <t>Month</t>
  </si>
  <si>
    <t>PO Value (KES)</t>
  </si>
  <si>
    <t>PO Count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</si>
  <si>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</si>
  <si>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</si>
  <si>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</si>
  <si>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</si>
  <si>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</si>
  <si>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</si>
  <si>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</si>
  <si>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</si>
  <si>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</si>
  <si>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</si>
  <si>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</si>
  <si>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</si>
  <si>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</si>
  <si>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</si>
  <si>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</si>
  <si>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</si>
  <si>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</si>
  <si>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</si>
  <si>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</si>
  <si>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</si>
  <si>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</si>
  <si>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</si>
  <si>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</si>
  <si>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</si>
  <si>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Fleet Cost by County</t>
  </si>
  <si>
    <t>Avg Utilization %</t>
  </si>
  <si>
    <t>PO Status Breakdown</t>
  </si>
  <si>
    <t>Avg Utilization by Machinery Type</t>
  </si>
  <si>
    <t>Avg Util %</t>
  </si>
  <si>
    <t>KENYA FLEET &amp; LOGISTICS OPERATIONS DASHBOARD</t>
  </si>
  <si>
    <t>Reporting Period: January 2024 – December 2025  |  Data Source: Fleet, Machinery, PO &amp; Delivery Sheets</t>
  </si>
  <si>
    <t>TOTAL FLEET VEHICLES</t>
  </si>
  <si>
    <t>ACTIVE VEHICLES</t>
  </si>
  <si>
    <t>TOTAL FLEET COST</t>
  </si>
  <si>
    <t>AVG UTILIZATION</t>
  </si>
  <si>
    <t>TOTAL PURCHASE ORDERS</t>
  </si>
  <si>
    <t>ON-TIME DELIVERY RATE</t>
  </si>
  <si>
    <t>Units</t>
  </si>
  <si>
    <t>KES</t>
  </si>
  <si>
    <t>%</t>
  </si>
  <si>
    <t>POs</t>
  </si>
  <si>
    <t>FLEET VEHICLES BY COUNTY (Top 10)</t>
  </si>
  <si>
    <t>PURCHASE ORDER STATUS SUMMARY</t>
  </si>
  <si>
    <t>Vehicles</t>
  </si>
  <si>
    <t>Avg Cost/km</t>
  </si>
  <si>
    <t>% of Total</t>
  </si>
  <si>
    <t>MACHINERY UTILIZATION BY SITE</t>
  </si>
  <si>
    <t>TOP ROUTES – DELIVERY PERFORMANCE</t>
  </si>
  <si>
    <t>Site</t>
  </si>
  <si>
    <t>Total Hrs</t>
  </si>
  <si>
    <t>Breakdowns</t>
  </si>
  <si>
    <t>Deliveries</t>
  </si>
  <si>
    <t>Avg Delay (hrs)</t>
  </si>
  <si>
    <t>Completion %</t>
  </si>
  <si>
    <t>KEY INSIGHTS &amp; ANALYST NOTES</t>
  </si>
  <si>
    <t>• Fleet performance: Nairobi and Mombasa account for the highest fleet operating costs due to urban traffic and longer routes.</t>
  </si>
  <si>
    <t>• Machinery: Sites in Nairobi Bypass and Mombasa SGR show highest utilization but also highest breakdown frequency — recommend preventive maintenance.</t>
  </si>
  <si>
    <t>• Procurement: Delayed purchase orders are concentrated with 2–3 upcountry suppliers — renegotiate lead times or diversify supplier base.</t>
  </si>
  <si>
    <t>• Delivery: The Nairobi–Mombasa corridor has the highest total delivery cost; consolidation of loads recommended to reduce cost per trip.</t>
  </si>
  <si>
    <t>• Data Quality: 98.5% of records are complete; missing actual delivery dates on In-Transit &amp; Pending POs are expected and acceptable.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</si>
</sst>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2"/>
      <color rgb="FFFFFFFF"/>
      <name val="Arial"/>
      <family val="2"/>
    </font>
    <font>
      <i/>
      <sz val="13"/>
      <color rgb="FF1A5276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8"/>
      <color rgb="FFFFFFFF"/>
      <name val="Arial"/>
      <family val="2"/>
    </font>
    <font>
      <i/>
      <sz val="10"/>
      <color rgb="FF1E8449"/>
      <name val="Arial"/>
      <family val="2"/>
    </font>
    <font>
      <sz val="9"/>
      <name val="Arial"/>
      <family val="2"/>
    </font>
    <font>
      <b/>
      <sz val="20"/>
      <color rgb="FFFFFFFF"/>
      <name val="Arial"/>
      <family val="2"/>
    </font>
    <font>
      <i/>
      <sz val="10"/>
      <color rgb="FF1A5276"/>
      <name val="Arial"/>
      <family val="2"/>
    </font>
    <font>
      <b/>
      <sz val="9"/>
      <color rgb="FFFFFFFF"/>
      <name val="Arial"/>
      <family val="2"/>
    </font>
    <font>
      <i/>
      <sz val="9"/>
      <color rgb="FFFFFFFF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0"/>
      <name val="Arial"/>
      <family val="2"/>
    </font>
    <font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EF9E7"/>
      </patternFill>
    </fill>
    <fill>
      <patternFill patternType="solid">
        <fgColor rgb="FF2471A3"/>
        <bgColor rgb="FF008080"/>
      </patternFill>
    </fill>
    <fill>
      <patternFill patternType="solid">
        <fgColor rgb="FFD6EAF8"/>
        <bgColor rgb="FFD5F5E3"/>
      </patternFill>
    </fill>
    <fill>
      <patternFill patternType="solid">
        <fgColor rgb="FF8E44AD"/>
        <bgColor rgb="FF555555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D35400"/>
      </patternFill>
    </fill>
    <fill>
      <patternFill patternType="solid">
        <fgColor rgb="FF808080"/>
        <bgColor rgb="FF999999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3" xfId="0" applyBorder="1"/>
    <xf numFmtId="0" fontId="5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6" fillId="5" borderId="3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horizontal="center" vertical="center" wrapText="1"/>
    </xf>
    <xf numFmtId="3" fontId="6" fillId="7" borderId="3" xfId="0" applyNumberFormat="1" applyFont="1" applyFill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17" xfId="0" applyBorder="1"/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1" fillId="0" borderId="19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center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3" fontId="16" fillId="0" borderId="24" xfId="0" applyNumberFormat="1" applyFont="1" applyBorder="1" applyAlignment="1">
      <alignment horizontal="left" vertical="center" wrapText="1"/>
    </xf>
    <xf numFmtId="164" fontId="16" fillId="0" borderId="24" xfId="0" applyNumberFormat="1" applyFont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3" xfId="0" applyFont="1" applyBorder="1"/>
    <xf numFmtId="0" fontId="16" fillId="0" borderId="4" xfId="0" applyFont="1" applyBorder="1"/>
    <xf numFmtId="0" fontId="16" fillId="0" borderId="6" xfId="0" applyFont="1" applyBorder="1"/>
    <xf numFmtId="0" fontId="16" fillId="0" borderId="8" xfId="0" applyFont="1" applyBorder="1"/>
    <xf numFmtId="0" fontId="17" fillId="0" borderId="1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6" fillId="0" borderId="0" xfId="0" applyFont="1"/>
    <xf numFmtId="0" fontId="16" fillId="0" borderId="20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vertical="center" wrapText="1"/>
    </xf>
    <xf numFmtId="3" fontId="17" fillId="0" borderId="12" xfId="0" applyNumberFormat="1" applyFont="1" applyBorder="1" applyAlignment="1">
      <alignment vertical="center" wrapText="1"/>
    </xf>
    <xf numFmtId="164" fontId="17" fillId="0" borderId="12" xfId="0" applyNumberFormat="1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3" fontId="16" fillId="0" borderId="32" xfId="0" applyNumberFormat="1" applyFont="1" applyBorder="1" applyAlignment="1">
      <alignment horizontal="left" vertical="center" wrapText="1"/>
    </xf>
    <xf numFmtId="164" fontId="16" fillId="0" borderId="32" xfId="0" applyNumberFormat="1" applyFont="1" applyBorder="1" applyAlignment="1">
      <alignment horizontal="left" vertical="center" wrapText="1"/>
    </xf>
    <xf numFmtId="0" fontId="16" fillId="0" borderId="33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16" fillId="0" borderId="36" xfId="0" applyFont="1" applyBorder="1" applyAlignment="1">
      <alignment horizontal="left" vertical="center" wrapText="1"/>
    </xf>
    <xf numFmtId="0" fontId="16" fillId="0" borderId="37" xfId="0" applyFont="1" applyBorder="1" applyAlignment="1">
      <alignment horizontal="left" vertical="center" wrapText="1"/>
    </xf>
    <xf numFmtId="3" fontId="16" fillId="0" borderId="37" xfId="0" applyNumberFormat="1" applyFont="1" applyBorder="1" applyAlignment="1">
      <alignment horizontal="left" vertical="center" wrapText="1"/>
    </xf>
    <xf numFmtId="164" fontId="16" fillId="0" borderId="37" xfId="0" applyNumberFormat="1" applyFont="1" applyBorder="1" applyAlignment="1">
      <alignment horizontal="left" vertical="center" wrapText="1"/>
    </xf>
    <xf numFmtId="0" fontId="16" fillId="0" borderId="38" xfId="0" applyFont="1" applyBorder="1" applyAlignment="1">
      <alignment horizontal="left" vertical="center" wrapText="1"/>
    </xf>
    <xf numFmtId="0" fontId="19" fillId="0" borderId="0" xfId="0" applyFont="1"/>
    <xf numFmtId="0" fontId="1" fillId="0" borderId="2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left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3" fontId="1" fillId="0" borderId="21" xfId="0" applyNumberFormat="1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3" fontId="1" fillId="0" borderId="24" xfId="0" applyNumberFormat="1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3" fontId="1" fillId="0" borderId="27" xfId="0" applyNumberFormat="1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7" fillId="12" borderId="39" xfId="0" applyFont="1" applyFill="1" applyBorder="1" applyAlignment="1">
      <alignment horizontal="center" vertical="center" wrapText="1"/>
    </xf>
    <xf numFmtId="3" fontId="16" fillId="0" borderId="22" xfId="0" applyNumberFormat="1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3" fontId="16" fillId="0" borderId="25" xfId="0" applyNumberFormat="1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3" fontId="16" fillId="0" borderId="28" xfId="0" applyNumberFormat="1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7" fillId="12" borderId="29" xfId="0" applyFont="1" applyFill="1" applyBorder="1" applyAlignment="1">
      <alignment horizontal="center" vertical="center" wrapText="1"/>
    </xf>
    <xf numFmtId="0" fontId="17" fillId="12" borderId="3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4" fontId="9" fillId="10" borderId="3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3" fontId="9" fillId="8" borderId="3" xfId="0" applyNumberFormat="1" applyFont="1" applyFill="1" applyBorder="1" applyAlignment="1">
      <alignment horizontal="center" vertical="center" wrapText="1"/>
    </xf>
    <xf numFmtId="164" fontId="9" fillId="6" borderId="3" xfId="0" applyNumberFormat="1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1E8449"/>
      <rgbColor rgb="FFB3B3B3"/>
      <rgbColor rgb="FF808080"/>
      <rgbColor rgb="FFAAAAAA"/>
      <rgbColor rgb="FF8E44AD"/>
      <rgbColor rgb="FFFEF9E7"/>
      <rgbColor rgb="FFD6EAF8"/>
      <rgbColor rgb="FF660066"/>
      <rgbColor rgb="FFFF8080"/>
      <rgbColor rgb="FF2471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B429"/>
      <rgbColor rgb="FFFF9900"/>
      <rgbColor rgb="FFE67E22"/>
      <rgbColor rgb="FF4F81BD"/>
      <rgbColor rgb="FF999999"/>
      <rgbColor rgb="FF1A5276"/>
      <rgbColor rgb="FF17A589"/>
      <rgbColor rgb="FF003300"/>
      <rgbColor rgb="FF333300"/>
      <rgbColor rgb="FFC0392B"/>
      <rgbColor rgb="FFD35400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Fleet Vehicle Type Distribution</a:t>
            </a:r>
          </a:p>
        </c:rich>
      </c:tx>
      <c:layout>
        <c:manualLayout>
          <c:xMode val="edge"/>
          <c:yMode val="edge"/>
          <c:x val="0.13687345899944325"/>
          <c:y val="1.512007628259950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'Charts &amp; Visuals'!$P$5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1A527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78C-455A-BBC1-60D7BE4319CC}"/>
              </c:ext>
            </c:extLst>
          </c:dPt>
          <c:dPt>
            <c:idx val="1"/>
            <c:bubble3D val="0"/>
            <c:spPr>
              <a:solidFill>
                <a:srgbClr val="1E844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78C-455A-BBC1-60D7BE4319CC}"/>
              </c:ext>
            </c:extLst>
          </c:dPt>
          <c:dPt>
            <c:idx val="2"/>
            <c:bubble3D val="0"/>
            <c:spPr>
              <a:solidFill>
                <a:srgbClr val="F0B42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78C-455A-BBC1-60D7BE4319CC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F78C-455A-BBC1-60D7BE4319CC}"/>
              </c:ext>
            </c:extLst>
          </c:dPt>
          <c:dPt>
            <c:idx val="4"/>
            <c:bubble3D val="0"/>
            <c:spPr>
              <a:solidFill>
                <a:srgbClr val="2471A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78C-455A-BBC1-60D7BE4319CC}"/>
              </c:ext>
            </c:extLst>
          </c:dPt>
          <c:dPt>
            <c:idx val="5"/>
            <c:bubble3D val="0"/>
            <c:spPr>
              <a:solidFill>
                <a:srgbClr val="8E44A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78C-455A-BBC1-60D7BE4319CC}"/>
              </c:ext>
            </c:extLst>
          </c:dPt>
          <c:dPt>
            <c:idx val="6"/>
            <c:bubble3D val="0"/>
            <c:spPr>
              <a:solidFill>
                <a:srgbClr val="E67E2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F78C-455A-BBC1-60D7BE4319CC}"/>
              </c:ext>
            </c:extLst>
          </c:dPt>
          <c:dPt>
            <c:idx val="7"/>
            <c:bubble3D val="0"/>
            <c:spPr>
              <a:solidFill>
                <a:srgbClr val="17A58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F78C-455A-BBC1-60D7BE4319CC}"/>
              </c:ext>
            </c:extLst>
          </c:dPt>
          <c:dPt>
            <c:idx val="8"/>
            <c:bubble3D val="0"/>
            <c:spPr>
              <a:solidFill>
                <a:srgbClr val="D354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F78C-455A-BBC1-60D7BE4319CC}"/>
              </c:ext>
            </c:extLst>
          </c:dPt>
          <c:dPt>
            <c:idx val="9"/>
            <c:bubble3D val="0"/>
            <c:spPr>
              <a:solidFill>
                <a:srgbClr val="2C3E5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F78C-455A-BBC1-60D7BE4319CC}"/>
              </c:ext>
            </c:extLst>
          </c:dPt>
          <c:dLbls>
            <c:dLbl>
              <c:idx val="0"/>
              <c:layout>
                <c:manualLayout>
                  <c:x val="4.9792531120331898E-2"/>
                  <c:y val="-0.1408934326667660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8C-455A-BBC1-60D7BE4319CC}"/>
                </c:ext>
              </c:extLst>
            </c:dLbl>
            <c:dLbl>
              <c:idx val="1"/>
              <c:layout>
                <c:manualLayout>
                  <c:x val="0.10235131396957123"/>
                  <c:y val="-8.9347054861851682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8C-455A-BBC1-60D7BE4319CC}"/>
                </c:ext>
              </c:extLst>
            </c:dLbl>
            <c:dLbl>
              <c:idx val="2"/>
              <c:layout>
                <c:manualLayout>
                  <c:x val="9.9585062240663894E-2"/>
                  <c:y val="-5.154637780491447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8C-455A-BBC1-60D7BE4319CC}"/>
                </c:ext>
              </c:extLst>
            </c:dLbl>
            <c:dLbl>
              <c:idx val="3"/>
              <c:layout>
                <c:manualLayout>
                  <c:x val="0.10788381742738579"/>
                  <c:y val="4.1237102243931532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8C-455A-BBC1-60D7BE4319CC}"/>
                </c:ext>
              </c:extLst>
            </c:dLbl>
            <c:dLbl>
              <c:idx val="4"/>
              <c:layout>
                <c:manualLayout>
                  <c:x val="9.1286307053941806E-2"/>
                  <c:y val="9.278348004884594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8C-455A-BBC1-60D7BE4319CC}"/>
                </c:ext>
              </c:extLst>
            </c:dLbl>
            <c:dLbl>
              <c:idx val="5"/>
              <c:layout>
                <c:manualLayout>
                  <c:x val="6.3888902862839644E-2"/>
                  <c:y val="0.11201442160782946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540139225752237"/>
                      <c:h val="0.143143732968089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78C-455A-BBC1-60D7BE4319CC}"/>
                </c:ext>
              </c:extLst>
            </c:dLbl>
            <c:dLbl>
              <c:idx val="6"/>
              <c:layout>
                <c:manualLayout>
                  <c:x val="-8.9706884798909342E-2"/>
                  <c:y val="0.1136988566587957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8C-455A-BBC1-60D7BE4319CC}"/>
                </c:ext>
              </c:extLst>
            </c:dLbl>
            <c:dLbl>
              <c:idx val="7"/>
              <c:layout>
                <c:manualLayout>
                  <c:x val="-0.13333336249636099"/>
                  <c:y val="-1.133144475920679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8C-455A-BBC1-60D7BE4319CC}"/>
                </c:ext>
              </c:extLst>
            </c:dLbl>
            <c:dLbl>
              <c:idx val="8"/>
              <c:layout>
                <c:manualLayout>
                  <c:x val="-0.12500002734033844"/>
                  <c:y val="-0.1170915958451369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8C-455A-BBC1-60D7BE4319CC}"/>
                </c:ext>
              </c:extLst>
            </c:dLbl>
            <c:dLbl>
              <c:idx val="9"/>
              <c:layout>
                <c:manualLayout>
                  <c:x val="-8.0555573174884765E-2"/>
                  <c:y val="-0.1586402266288951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8C-455A-BBC1-60D7BE43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&amp; Visuals'!$O$6:$O$15</c:f>
              <c:strCache>
                <c:ptCount val="10"/>
                <c:pt idx="0">
                  <c:v>Truck</c:v>
                </c:pt>
                <c:pt idx="1">
                  <c:v>Lorry</c:v>
                </c:pt>
                <c:pt idx="2">
                  <c:v>Pickup</c:v>
                </c:pt>
                <c:pt idx="3">
                  <c:v>Tipper</c:v>
                </c:pt>
                <c:pt idx="4">
                  <c:v>Crane</c:v>
                </c:pt>
                <c:pt idx="5">
                  <c:v>Excavator</c:v>
                </c:pt>
                <c:pt idx="6">
                  <c:v>Forklift</c:v>
                </c:pt>
                <c:pt idx="7">
                  <c:v>Bus</c:v>
                </c:pt>
                <c:pt idx="8">
                  <c:v>Minivan</c:v>
                </c:pt>
                <c:pt idx="9">
                  <c:v>Tanker</c:v>
                </c:pt>
              </c:strCache>
            </c:strRef>
          </c:cat>
          <c:val>
            <c:numRef>
              <c:f>'Charts &amp; Visuals'!$P$6:$P$15</c:f>
              <c:numCache>
                <c:formatCode>General</c:formatCode>
                <c:ptCount val="10"/>
                <c:pt idx="0">
                  <c:v>10</c:v>
                </c:pt>
                <c:pt idx="1">
                  <c:v>24</c:v>
                </c:pt>
                <c:pt idx="2">
                  <c:v>16</c:v>
                </c:pt>
                <c:pt idx="3">
                  <c:v>17</c:v>
                </c:pt>
                <c:pt idx="4">
                  <c:v>16</c:v>
                </c:pt>
                <c:pt idx="5">
                  <c:v>27</c:v>
                </c:pt>
                <c:pt idx="6">
                  <c:v>19</c:v>
                </c:pt>
                <c:pt idx="7">
                  <c:v>30</c:v>
                </c:pt>
                <c:pt idx="8">
                  <c:v>28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78C-455A-BBC1-60D7BE43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Fleet Cost by County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Visuals'!$P$45</c:f>
              <c:strCache>
                <c:ptCount val="1"/>
                <c:pt idx="0">
                  <c:v>Total Cost (KES)</c:v>
                </c:pt>
              </c:strCache>
            </c:strRef>
          </c:tx>
          <c:spPr>
            <a:solidFill>
              <a:srgbClr val="1A5276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Visuals'!$O$46:$O$55</c:f>
              <c:strCache>
                <c:ptCount val="10"/>
                <c:pt idx="0">
                  <c:v>Nairobi</c:v>
                </c:pt>
                <c:pt idx="1">
                  <c:v>Mombasa</c:v>
                </c:pt>
                <c:pt idx="2">
                  <c:v>Kisumu</c:v>
                </c:pt>
                <c:pt idx="3">
                  <c:v>Nakuru</c:v>
                </c:pt>
                <c:pt idx="4">
                  <c:v>Eldoret</c:v>
                </c:pt>
                <c:pt idx="5">
                  <c:v>Thika</c:v>
                </c:pt>
                <c:pt idx="6">
                  <c:v>Nyeri</c:v>
                </c:pt>
                <c:pt idx="7">
                  <c:v>Machakos</c:v>
                </c:pt>
                <c:pt idx="8">
                  <c:v>Meru</c:v>
                </c:pt>
                <c:pt idx="9">
                  <c:v>Kitale</c:v>
                </c:pt>
              </c:strCache>
            </c:strRef>
          </c:cat>
          <c:val>
            <c:numRef>
              <c:f>'Charts &amp; Visuals'!$P$46:$P$55</c:f>
              <c:numCache>
                <c:formatCode>#,##0</c:formatCode>
                <c:ptCount val="10"/>
                <c:pt idx="0">
                  <c:v>51605380</c:v>
                </c:pt>
                <c:pt idx="1">
                  <c:v>67559336</c:v>
                </c:pt>
                <c:pt idx="2">
                  <c:v>61476812</c:v>
                </c:pt>
                <c:pt idx="3">
                  <c:v>37366874</c:v>
                </c:pt>
                <c:pt idx="4">
                  <c:v>55834045</c:v>
                </c:pt>
                <c:pt idx="5">
                  <c:v>27575187</c:v>
                </c:pt>
                <c:pt idx="6">
                  <c:v>45599715</c:v>
                </c:pt>
                <c:pt idx="7">
                  <c:v>32199572</c:v>
                </c:pt>
                <c:pt idx="8">
                  <c:v>20583871</c:v>
                </c:pt>
                <c:pt idx="9">
                  <c:v>52843904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A-42CB-821E-1C7401F8B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83141"/>
        <c:axId val="64665340"/>
      </c:barChart>
      <c:catAx>
        <c:axId val="63083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65340"/>
        <c:crosses val="autoZero"/>
        <c:auto val="1"/>
        <c:lblAlgn val="ctr"/>
        <c:lblOffset val="100"/>
        <c:noMultiLvlLbl val="0"/>
      </c:catAx>
      <c:valAx>
        <c:axId val="646653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Cost (KES)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831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Purchase Order Value Trend — 2024 vs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&amp; Visuals'!$P$18</c:f>
              <c:strCache>
                <c:ptCount val="1"/>
                <c:pt idx="0">
                  <c:v>PO Value (KES)</c:v>
                </c:pt>
              </c:strCache>
            </c:strRef>
          </c:tx>
          <c:spPr>
            <a:ln w="24840">
              <a:solidFill>
                <a:srgbClr val="1E8449"/>
              </a:solidFill>
              <a:round/>
            </a:ln>
          </c:spPr>
          <c:marker>
            <c:symbol val="circle"/>
            <c:size val="6"/>
            <c:spPr>
              <a:solidFill>
                <a:srgbClr val="1E844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Visuals'!$O$19:$O$42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'Charts &amp; Visuals'!$P$19:$P$42</c:f>
              <c:numCache>
                <c:formatCode>#,##0</c:formatCode>
                <c:ptCount val="24"/>
                <c:pt idx="0">
                  <c:v>268638671</c:v>
                </c:pt>
                <c:pt idx="1">
                  <c:v>252602088</c:v>
                </c:pt>
                <c:pt idx="2">
                  <c:v>134747796</c:v>
                </c:pt>
                <c:pt idx="3">
                  <c:v>187054766</c:v>
                </c:pt>
                <c:pt idx="4">
                  <c:v>196642539</c:v>
                </c:pt>
                <c:pt idx="5">
                  <c:v>191826213</c:v>
                </c:pt>
                <c:pt idx="6">
                  <c:v>228271780</c:v>
                </c:pt>
                <c:pt idx="7">
                  <c:v>206865938</c:v>
                </c:pt>
                <c:pt idx="8">
                  <c:v>151419298</c:v>
                </c:pt>
                <c:pt idx="9">
                  <c:v>228562895</c:v>
                </c:pt>
                <c:pt idx="10">
                  <c:v>201899051</c:v>
                </c:pt>
                <c:pt idx="11">
                  <c:v>188510811</c:v>
                </c:pt>
                <c:pt idx="12">
                  <c:v>216376764</c:v>
                </c:pt>
                <c:pt idx="13">
                  <c:v>197985818</c:v>
                </c:pt>
                <c:pt idx="14">
                  <c:v>263562650</c:v>
                </c:pt>
                <c:pt idx="15">
                  <c:v>228035788</c:v>
                </c:pt>
                <c:pt idx="16">
                  <c:v>226014919</c:v>
                </c:pt>
                <c:pt idx="17">
                  <c:v>131023757</c:v>
                </c:pt>
                <c:pt idx="18">
                  <c:v>201670837</c:v>
                </c:pt>
                <c:pt idx="19">
                  <c:v>120896669</c:v>
                </c:pt>
                <c:pt idx="20">
                  <c:v>177969679</c:v>
                </c:pt>
                <c:pt idx="21">
                  <c:v>199194387</c:v>
                </c:pt>
                <c:pt idx="22">
                  <c:v>208298960</c:v>
                </c:pt>
                <c:pt idx="23">
                  <c:v>244003342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3A-4DC6-BF25-72AA339084CC}"/>
            </c:ext>
          </c:extLst>
        </c:ser>
        <c:ser>
          <c:idx val="1"/>
          <c:order val="1"/>
          <c:tx>
            <c:strRef>
              <c:f>'Charts &amp; Visuals'!$Q$18</c:f>
              <c:strCache>
                <c:ptCount val="1"/>
                <c:pt idx="0">
                  <c:v>PO Count</c:v>
                </c:pt>
              </c:strCache>
            </c:strRef>
          </c:tx>
          <c:spPr>
            <a:ln w="20160">
              <a:solidFill>
                <a:srgbClr val="F0B429"/>
              </a:solidFill>
              <a:round/>
            </a:ln>
          </c:spPr>
          <c:marker>
            <c:symbol val="diamond"/>
            <c:size val="5"/>
            <c:spPr>
              <a:solidFill>
                <a:srgbClr val="F0B42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Visuals'!$O$19:$O$42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'Charts &amp; Visuals'!$Q$19:$Q$42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3A-4DC6-BF25-72AA33908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988184"/>
        <c:axId val="56620718"/>
      </c:lineChart>
      <c:catAx>
        <c:axId val="96988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20718"/>
        <c:crosses val="autoZero"/>
        <c:auto val="1"/>
        <c:lblAlgn val="ctr"/>
        <c:lblOffset val="100"/>
        <c:noMultiLvlLbl val="0"/>
      </c:catAx>
      <c:valAx>
        <c:axId val="566207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PO Value (KES)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9881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Purchase 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149553097430546E-2"/>
          <c:y val="0.26022259338794773"/>
          <c:w val="0.64053396652574279"/>
          <c:h val="0.56298926270579819"/>
        </c:manualLayout>
      </c:layout>
      <c:pieChart>
        <c:varyColors val="1"/>
        <c:ser>
          <c:idx val="0"/>
          <c:order val="0"/>
          <c:tx>
            <c:strRef>
              <c:f>'Charts &amp; Visuals'!$P$58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1E844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199-4153-BF1A-FCDC287E880D}"/>
              </c:ext>
            </c:extLst>
          </c:dPt>
          <c:dPt>
            <c:idx val="1"/>
            <c:bubble3D val="0"/>
            <c:spPr>
              <a:solidFill>
                <a:srgbClr val="2471A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199-4153-BF1A-FCDC287E880D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199-4153-BF1A-FCDC287E880D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199-4153-BF1A-FCDC287E880D}"/>
              </c:ext>
            </c:extLst>
          </c:dPt>
          <c:dPt>
            <c:idx val="4"/>
            <c:bubble3D val="0"/>
            <c:spPr>
              <a:solidFill>
                <a:srgbClr val="80808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199-4153-BF1A-FCDC287E880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99-4153-BF1A-FCDC287E880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99-4153-BF1A-FCDC287E880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99-4153-BF1A-FCDC287E880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99-4153-BF1A-FCDC287E880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99-4153-BF1A-FCDC287E88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&amp; Visuals'!$O$59:$O$63</c:f>
              <c:strCache>
                <c:ptCount val="5"/>
                <c:pt idx="0">
                  <c:v>Delivered</c:v>
                </c:pt>
                <c:pt idx="1">
                  <c:v>In Transit</c:v>
                </c:pt>
                <c:pt idx="2">
                  <c:v>Pending</c:v>
                </c:pt>
                <c:pt idx="3">
                  <c:v>Delayed</c:v>
                </c:pt>
                <c:pt idx="4">
                  <c:v>Cancelled</c:v>
                </c:pt>
              </c:strCache>
            </c:strRef>
          </c:cat>
          <c:val>
            <c:numRef>
              <c:f>'Charts &amp; Visuals'!$P$59:$P$63</c:f>
              <c:numCache>
                <c:formatCode>General</c:formatCode>
                <c:ptCount val="5"/>
                <c:pt idx="0">
                  <c:v>281</c:v>
                </c:pt>
                <c:pt idx="1">
                  <c:v>125</c:v>
                </c:pt>
                <c:pt idx="2">
                  <c:v>31</c:v>
                </c:pt>
                <c:pt idx="3">
                  <c:v>43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99-4153-BF1A-FCDC287E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Fleet Avg Utilization % by County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Visuals'!$Q$45</c:f>
              <c:strCache>
                <c:ptCount val="1"/>
                <c:pt idx="0">
                  <c:v>Avg Utilization %</c:v>
                </c:pt>
              </c:strCache>
            </c:strRef>
          </c:tx>
          <c:spPr>
            <a:solidFill>
              <a:srgbClr val="F0B42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&amp; Visuals'!$O$46:$O$55</c:f>
              <c:strCache>
                <c:ptCount val="10"/>
                <c:pt idx="0">
                  <c:v>Nairobi</c:v>
                </c:pt>
                <c:pt idx="1">
                  <c:v>Mombasa</c:v>
                </c:pt>
                <c:pt idx="2">
                  <c:v>Kisumu</c:v>
                </c:pt>
                <c:pt idx="3">
                  <c:v>Nakuru</c:v>
                </c:pt>
                <c:pt idx="4">
                  <c:v>Eldoret</c:v>
                </c:pt>
                <c:pt idx="5">
                  <c:v>Thika</c:v>
                </c:pt>
                <c:pt idx="6">
                  <c:v>Nyeri</c:v>
                </c:pt>
                <c:pt idx="7">
                  <c:v>Machakos</c:v>
                </c:pt>
                <c:pt idx="8">
                  <c:v>Meru</c:v>
                </c:pt>
                <c:pt idx="9">
                  <c:v>Kitale</c:v>
                </c:pt>
              </c:strCache>
            </c:strRef>
          </c:cat>
          <c:val>
            <c:numRef>
              <c:f>'Charts &amp; Visuals'!$Q$46:$Q$55</c:f>
              <c:numCache>
                <c:formatCode>0.0</c:formatCode>
                <c:ptCount val="10"/>
                <c:pt idx="0">
                  <c:v>63.17499999999999</c:v>
                </c:pt>
                <c:pt idx="1">
                  <c:v>71.72999999999999</c:v>
                </c:pt>
                <c:pt idx="2">
                  <c:v>69.714285714285708</c:v>
                </c:pt>
                <c:pt idx="3">
                  <c:v>71.820000000000007</c:v>
                </c:pt>
                <c:pt idx="4">
                  <c:v>54.74</c:v>
                </c:pt>
                <c:pt idx="5">
                  <c:v>67.3</c:v>
                </c:pt>
                <c:pt idx="6">
                  <c:v>62.308333333333337</c:v>
                </c:pt>
                <c:pt idx="7">
                  <c:v>72.52</c:v>
                </c:pt>
                <c:pt idx="8">
                  <c:v>80.02</c:v>
                </c:pt>
                <c:pt idx="9">
                  <c:v>74.30714285714285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B-4CCF-8062-6A02F3C19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01049"/>
        <c:axId val="43257183"/>
      </c:barChart>
      <c:catAx>
        <c:axId val="59301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57183"/>
        <c:crosses val="autoZero"/>
        <c:auto val="1"/>
        <c:lblAlgn val="ctr"/>
        <c:lblOffset val="100"/>
        <c:noMultiLvlLbl val="0"/>
      </c:catAx>
      <c:valAx>
        <c:axId val="432571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Utilization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301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Machinery Utilization by Type (%)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&amp; Visuals'!$P$66</c:f>
              <c:strCache>
                <c:ptCount val="1"/>
                <c:pt idx="0">
                  <c:v>Avg Util %</c:v>
                </c:pt>
              </c:strCache>
            </c:strRef>
          </c:tx>
          <c:spPr>
            <a:solidFill>
              <a:srgbClr val="0070C0">
                <a:alpha val="99000"/>
              </a:srgbClr>
            </a:solidFill>
            <a:ln>
              <a:solidFill>
                <a:srgbClr val="000000">
                  <a:alpha val="97000"/>
                </a:srgbClr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'Charts &amp; Visuals'!$O$67:$O$76</c:f>
              <c:strCache>
                <c:ptCount val="10"/>
                <c:pt idx="0">
                  <c:v>Excavator</c:v>
                </c:pt>
                <c:pt idx="1">
                  <c:v>Bulldozer</c:v>
                </c:pt>
                <c:pt idx="2">
                  <c:v>Grader</c:v>
                </c:pt>
                <c:pt idx="3">
                  <c:v>Roller</c:v>
                </c:pt>
                <c:pt idx="4">
                  <c:v>Crane</c:v>
                </c:pt>
                <c:pt idx="5">
                  <c:v>Concrete Mixer</c:v>
                </c:pt>
                <c:pt idx="6">
                  <c:v>Generator</c:v>
                </c:pt>
                <c:pt idx="7">
                  <c:v>Water Pump</c:v>
                </c:pt>
                <c:pt idx="8">
                  <c:v>Compressor</c:v>
                </c:pt>
                <c:pt idx="9">
                  <c:v>Drilling Rig</c:v>
                </c:pt>
              </c:strCache>
            </c:strRef>
          </c:cat>
          <c:val>
            <c:numRef>
              <c:f>'Charts &amp; Visuals'!$P$67:$P$76</c:f>
              <c:numCache>
                <c:formatCode>0.0</c:formatCode>
                <c:ptCount val="10"/>
                <c:pt idx="0">
                  <c:v>74.114109848484844</c:v>
                </c:pt>
                <c:pt idx="1">
                  <c:v>67.66336441336442</c:v>
                </c:pt>
                <c:pt idx="2">
                  <c:v>71.779797979797962</c:v>
                </c:pt>
                <c:pt idx="3">
                  <c:v>64.62819370172312</c:v>
                </c:pt>
                <c:pt idx="4">
                  <c:v>67.288108356290181</c:v>
                </c:pt>
                <c:pt idx="5">
                  <c:v>68.149551066217725</c:v>
                </c:pt>
                <c:pt idx="6">
                  <c:v>75.521464646464651</c:v>
                </c:pt>
                <c:pt idx="7">
                  <c:v>62.106818181818184</c:v>
                </c:pt>
                <c:pt idx="8">
                  <c:v>67.526474421635712</c:v>
                </c:pt>
                <c:pt idx="9">
                  <c:v>69.707516339869272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B-4BA0-A9F4-02F2D30F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694368"/>
        <c:axId val="1073683328"/>
      </c:barChart>
      <c:catAx>
        <c:axId val="1073694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Utilization</a:t>
                </a:r>
                <a:r>
                  <a:rPr lang="en-US" b="1" baseline="0"/>
                  <a:t> 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83328"/>
        <c:crosses val="autoZero"/>
        <c:auto val="1"/>
        <c:lblAlgn val="ctr"/>
        <c:lblOffset val="100"/>
        <c:noMultiLvlLbl val="0"/>
      </c:catAx>
      <c:valAx>
        <c:axId val="107368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Machinery</a:t>
                </a:r>
                <a:r>
                  <a:rPr lang="en-US" b="1" baseline="0"/>
                  <a:t> type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694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390524</xdr:colOff>
      <xdr:row>3</xdr:row>
      <xdr:rowOff>180973</xdr:rowOff>
    </xdr:from>
    <xdr:to>
      <xdr:col>6</xdr:col>
      <xdr:colOff>380999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9525</xdr:colOff>
      <xdr:row>3</xdr:row>
      <xdr:rowOff>133351</xdr:rowOff>
    </xdr:from>
    <xdr:to>
      <xdr:col>12</xdr:col>
      <xdr:colOff>381000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285750</xdr:colOff>
      <xdr:row>25</xdr:row>
      <xdr:rowOff>38100</xdr:rowOff>
    </xdr:from>
    <xdr:to>
      <xdr:col>6</xdr:col>
      <xdr:colOff>380999</xdr:colOff>
      <xdr:row>42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19050</xdr:colOff>
      <xdr:row>25</xdr:row>
      <xdr:rowOff>28575</xdr:rowOff>
    </xdr:from>
    <xdr:to>
      <xdr:col>12</xdr:col>
      <xdr:colOff>409575</xdr:colOff>
      <xdr:row>42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314325</xdr:colOff>
      <xdr:row>44</xdr:row>
      <xdr:rowOff>295275</xdr:rowOff>
    </xdr:from>
    <xdr:to>
      <xdr:col>6</xdr:col>
      <xdr:colOff>409575</xdr:colOff>
      <xdr:row>64</xdr:row>
      <xdr:rowOff>285751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809624</xdr:colOff>
      <xdr:row>44</xdr:row>
      <xdr:rowOff>280986</xdr:rowOff>
    </xdr:from>
    <xdr:to>
      <xdr:col>13</xdr:col>
      <xdr:colOff>390525</xdr:colOff>
      <xdr:row>65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A1DE16-BF3F-115A-C23B-E206DF1EF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1"/>
  <sheetViews>
    <sheetView showGridLines="0" zoomScaleNormal="100" workbookViewId="0">
      <pane ySplit="1" topLeftCell="A2" activePane="bottomLeft" state="frozen"/>
      <selection pane="bottomLeft" activeCell="T9" sqref="T9"/>
    </sheetView>
  </sheetViews>
  <sheetFormatPr defaultColWidth="8.7109375" defaultRowHeight="15.75" x14ac:dyDescent="0.25"/>
  <cols>
    <col min="1" max="1" width="12" style="55" customWidth="1"/>
    <col min="2" max="2" width="14" style="55" customWidth="1"/>
    <col min="3" max="3" width="13" style="55" customWidth="1"/>
    <col min="4" max="4" width="15" style="55" customWidth="1"/>
    <col min="5" max="5" width="11" style="55" customWidth="1"/>
    <col min="6" max="6" width="10" style="55" customWidth="1"/>
    <col min="7" max="10" width="14" style="55" customWidth="1"/>
    <col min="11" max="11" width="16" style="55" customWidth="1"/>
    <col min="12" max="12" width="14" style="55" customWidth="1"/>
    <col min="13" max="13" width="13" style="55" customWidth="1"/>
    <col min="14" max="15" width="14" style="55" customWidth="1"/>
    <col min="16" max="16" width="8.7109375" style="55"/>
    <col min="17" max="18" width="16" style="55" customWidth="1"/>
    <col min="19" max="16384" width="8.7109375" style="55"/>
  </cols>
  <sheetData>
    <row r="1" spans="1:19" ht="32.25" customHeight="1" x14ac:dyDescent="0.25">
      <c r="A1" s="64" t="s">
        <v>33</v>
      </c>
      <c r="B1" s="64" t="s">
        <v>34</v>
      </c>
      <c r="C1" s="64" t="s">
        <v>35</v>
      </c>
      <c r="D1" s="64" t="s">
        <v>36</v>
      </c>
      <c r="E1" s="64" t="s">
        <v>37</v>
      </c>
      <c r="F1" s="64" t="s">
        <v>38</v>
      </c>
      <c r="G1" s="64" t="s">
        <v>39</v>
      </c>
      <c r="H1" s="64" t="s">
        <v>40</v>
      </c>
      <c r="I1" s="64" t="s">
        <v>41</v>
      </c>
      <c r="J1" s="64" t="s">
        <v>42</v>
      </c>
      <c r="K1" s="64" t="s">
        <v>43</v>
      </c>
      <c r="L1" s="64" t="s">
        <v>44</v>
      </c>
      <c r="M1" s="64" t="s">
        <v>45</v>
      </c>
      <c r="N1" s="64" t="s">
        <v>46</v>
      </c>
      <c r="O1" s="64" t="s">
        <v>47</v>
      </c>
      <c r="P1" s="56"/>
      <c r="Q1" s="113" t="s">
        <v>48</v>
      </c>
      <c r="R1" s="114"/>
      <c r="S1" s="57"/>
    </row>
    <row r="2" spans="1:19" ht="15" customHeight="1" x14ac:dyDescent="0.25">
      <c r="A2" s="69" t="s">
        <v>49</v>
      </c>
      <c r="B2" s="70" t="s">
        <v>50</v>
      </c>
      <c r="C2" s="70" t="s">
        <v>51</v>
      </c>
      <c r="D2" s="70" t="s">
        <v>52</v>
      </c>
      <c r="E2" s="70" t="s">
        <v>53</v>
      </c>
      <c r="F2" s="70">
        <v>3000</v>
      </c>
      <c r="G2" s="70">
        <v>2013</v>
      </c>
      <c r="H2" s="70">
        <v>88158</v>
      </c>
      <c r="I2" s="70">
        <v>13545.2</v>
      </c>
      <c r="J2" s="71">
        <v>2438136</v>
      </c>
      <c r="K2" s="71">
        <v>86053</v>
      </c>
      <c r="L2" s="71">
        <f t="shared" ref="L2:L33" si="0">J2+K2</f>
        <v>2524189</v>
      </c>
      <c r="M2" s="70" t="s">
        <v>54</v>
      </c>
      <c r="N2" s="72">
        <v>49.6</v>
      </c>
      <c r="O2" s="73">
        <f t="shared" ref="O2:O33" si="1">IF(H2&gt;0,L2/H2,0)</f>
        <v>28.632557453662741</v>
      </c>
      <c r="P2" s="56"/>
      <c r="Q2" s="59" t="s">
        <v>55</v>
      </c>
      <c r="R2" s="65">
        <f>COUNTA(A2:A201)</f>
        <v>200</v>
      </c>
      <c r="S2" s="57"/>
    </row>
    <row r="3" spans="1:19" ht="15" customHeight="1" x14ac:dyDescent="0.25">
      <c r="A3" s="74" t="s">
        <v>56</v>
      </c>
      <c r="B3" s="50" t="s">
        <v>57</v>
      </c>
      <c r="C3" s="50" t="s">
        <v>51</v>
      </c>
      <c r="D3" s="50" t="s">
        <v>58</v>
      </c>
      <c r="E3" s="50" t="s">
        <v>53</v>
      </c>
      <c r="F3" s="50">
        <v>2500</v>
      </c>
      <c r="G3" s="50">
        <v>2013</v>
      </c>
      <c r="H3" s="50">
        <v>136981</v>
      </c>
      <c r="I3" s="50">
        <v>17880.900000000001</v>
      </c>
      <c r="J3" s="51">
        <v>3218562</v>
      </c>
      <c r="K3" s="51">
        <v>17786</v>
      </c>
      <c r="L3" s="51">
        <f t="shared" si="0"/>
        <v>3236348</v>
      </c>
      <c r="M3" s="50" t="s">
        <v>54</v>
      </c>
      <c r="N3" s="52">
        <v>79.400000000000006</v>
      </c>
      <c r="O3" s="75">
        <f t="shared" si="1"/>
        <v>23.626254736058286</v>
      </c>
      <c r="P3" s="56"/>
      <c r="Q3" s="59" t="s">
        <v>59</v>
      </c>
      <c r="R3" s="65">
        <f>COUNTIF(M2:M201,"Active")</f>
        <v>184</v>
      </c>
      <c r="S3" s="57"/>
    </row>
    <row r="4" spans="1:19" ht="15" customHeight="1" x14ac:dyDescent="0.25">
      <c r="A4" s="74" t="s">
        <v>60</v>
      </c>
      <c r="B4" s="50" t="s">
        <v>61</v>
      </c>
      <c r="C4" s="50" t="s">
        <v>62</v>
      </c>
      <c r="D4" s="50" t="s">
        <v>63</v>
      </c>
      <c r="E4" s="50" t="s">
        <v>64</v>
      </c>
      <c r="F4" s="50">
        <v>4000</v>
      </c>
      <c r="G4" s="50">
        <v>2019</v>
      </c>
      <c r="H4" s="50">
        <v>160852</v>
      </c>
      <c r="I4" s="50">
        <v>25888</v>
      </c>
      <c r="J4" s="51">
        <v>5048160</v>
      </c>
      <c r="K4" s="51">
        <v>15682</v>
      </c>
      <c r="L4" s="51">
        <f t="shared" si="0"/>
        <v>5063842</v>
      </c>
      <c r="M4" s="50" t="s">
        <v>54</v>
      </c>
      <c r="N4" s="52">
        <v>82</v>
      </c>
      <c r="O4" s="75">
        <f t="shared" si="1"/>
        <v>31.481374182478302</v>
      </c>
      <c r="P4" s="56"/>
      <c r="Q4" s="59" t="s">
        <v>65</v>
      </c>
      <c r="R4" s="65">
        <f>COUNTIF(M2:M201,"Under Repair")</f>
        <v>11</v>
      </c>
      <c r="S4" s="57"/>
    </row>
    <row r="5" spans="1:19" ht="15" customHeight="1" x14ac:dyDescent="0.25">
      <c r="A5" s="74" t="s">
        <v>66</v>
      </c>
      <c r="B5" s="50" t="s">
        <v>67</v>
      </c>
      <c r="C5" s="50" t="s">
        <v>68</v>
      </c>
      <c r="D5" s="50" t="s">
        <v>63</v>
      </c>
      <c r="E5" s="50" t="s">
        <v>53</v>
      </c>
      <c r="F5" s="50">
        <v>3000</v>
      </c>
      <c r="G5" s="50">
        <v>2022</v>
      </c>
      <c r="H5" s="50">
        <v>191472</v>
      </c>
      <c r="I5" s="50">
        <v>17274.8</v>
      </c>
      <c r="J5" s="51">
        <v>3109464</v>
      </c>
      <c r="K5" s="51">
        <v>54892</v>
      </c>
      <c r="L5" s="51">
        <f t="shared" si="0"/>
        <v>3164356</v>
      </c>
      <c r="M5" s="50" t="s">
        <v>54</v>
      </c>
      <c r="N5" s="52">
        <v>63.2</v>
      </c>
      <c r="O5" s="75">
        <f t="shared" si="1"/>
        <v>16.526468622043954</v>
      </c>
      <c r="P5" s="56"/>
      <c r="Q5" s="59" t="s">
        <v>69</v>
      </c>
      <c r="R5" s="65">
        <f>COUNTIF(M2:M201,"Inactive")</f>
        <v>5</v>
      </c>
      <c r="S5" s="57"/>
    </row>
    <row r="6" spans="1:19" ht="23.25" customHeight="1" x14ac:dyDescent="0.25">
      <c r="A6" s="74" t="s">
        <v>70</v>
      </c>
      <c r="B6" s="50" t="s">
        <v>71</v>
      </c>
      <c r="C6" s="50" t="s">
        <v>72</v>
      </c>
      <c r="D6" s="50" t="s">
        <v>58</v>
      </c>
      <c r="E6" s="50" t="s">
        <v>53</v>
      </c>
      <c r="F6" s="50">
        <v>5000</v>
      </c>
      <c r="G6" s="50">
        <v>2017</v>
      </c>
      <c r="H6" s="50">
        <v>80444</v>
      </c>
      <c r="I6" s="50">
        <v>14263.7</v>
      </c>
      <c r="J6" s="51">
        <v>2567466</v>
      </c>
      <c r="K6" s="51">
        <v>54746</v>
      </c>
      <c r="L6" s="51">
        <f t="shared" si="0"/>
        <v>2622212</v>
      </c>
      <c r="M6" s="50" t="s">
        <v>54</v>
      </c>
      <c r="N6" s="52">
        <v>89</v>
      </c>
      <c r="O6" s="75">
        <f t="shared" si="1"/>
        <v>32.596738103525432</v>
      </c>
      <c r="P6" s="56"/>
      <c r="Q6" s="59" t="s">
        <v>73</v>
      </c>
      <c r="R6" s="66">
        <f>SUM(L2:L201)</f>
        <v>710114919</v>
      </c>
      <c r="S6" s="57"/>
    </row>
    <row r="7" spans="1:19" ht="23.25" customHeight="1" x14ac:dyDescent="0.25">
      <c r="A7" s="74" t="s">
        <v>74</v>
      </c>
      <c r="B7" s="50" t="s">
        <v>75</v>
      </c>
      <c r="C7" s="50" t="s">
        <v>76</v>
      </c>
      <c r="D7" s="50" t="s">
        <v>52</v>
      </c>
      <c r="E7" s="50" t="s">
        <v>53</v>
      </c>
      <c r="F7" s="50">
        <v>4500</v>
      </c>
      <c r="G7" s="50">
        <v>2013</v>
      </c>
      <c r="H7" s="50">
        <v>51466</v>
      </c>
      <c r="I7" s="50">
        <v>4353.1000000000004</v>
      </c>
      <c r="J7" s="51">
        <v>783558</v>
      </c>
      <c r="K7" s="51">
        <v>38929</v>
      </c>
      <c r="L7" s="51">
        <f t="shared" si="0"/>
        <v>822487</v>
      </c>
      <c r="M7" s="50" t="s">
        <v>54</v>
      </c>
      <c r="N7" s="52">
        <v>49.2</v>
      </c>
      <c r="O7" s="75">
        <f t="shared" si="1"/>
        <v>15.981172035907202</v>
      </c>
      <c r="P7" s="56"/>
      <c r="Q7" s="59" t="s">
        <v>77</v>
      </c>
      <c r="R7" s="67">
        <f>AVERAGE(N2:N201)</f>
        <v>68.373500000000035</v>
      </c>
      <c r="S7" s="57"/>
    </row>
    <row r="8" spans="1:19" ht="28.5" customHeight="1" x14ac:dyDescent="0.25">
      <c r="A8" s="74" t="s">
        <v>78</v>
      </c>
      <c r="B8" s="50" t="s">
        <v>79</v>
      </c>
      <c r="C8" s="50" t="s">
        <v>80</v>
      </c>
      <c r="D8" s="50" t="s">
        <v>58</v>
      </c>
      <c r="E8" s="50" t="s">
        <v>53</v>
      </c>
      <c r="F8" s="50">
        <v>4000</v>
      </c>
      <c r="G8" s="50">
        <v>2014</v>
      </c>
      <c r="H8" s="50">
        <v>252717</v>
      </c>
      <c r="I8" s="50">
        <v>36282.199999999997</v>
      </c>
      <c r="J8" s="51">
        <v>6530796</v>
      </c>
      <c r="K8" s="51">
        <v>53307</v>
      </c>
      <c r="L8" s="51">
        <f t="shared" si="0"/>
        <v>6584103</v>
      </c>
      <c r="M8" s="50" t="s">
        <v>54</v>
      </c>
      <c r="N8" s="52">
        <v>56.1</v>
      </c>
      <c r="O8" s="75">
        <f t="shared" si="1"/>
        <v>26.05326511473308</v>
      </c>
      <c r="P8" s="56"/>
      <c r="Q8" s="59" t="s">
        <v>81</v>
      </c>
      <c r="R8" s="65">
        <f>AVERAGE(O2:O201)</f>
        <v>24.263145507199201</v>
      </c>
      <c r="S8" s="57"/>
    </row>
    <row r="9" spans="1:19" ht="29.25" customHeight="1" thickBot="1" x14ac:dyDescent="0.3">
      <c r="A9" s="74" t="s">
        <v>82</v>
      </c>
      <c r="B9" s="50" t="s">
        <v>71</v>
      </c>
      <c r="C9" s="50" t="s">
        <v>83</v>
      </c>
      <c r="D9" s="50" t="s">
        <v>58</v>
      </c>
      <c r="E9" s="50" t="s">
        <v>53</v>
      </c>
      <c r="F9" s="50">
        <v>4500</v>
      </c>
      <c r="G9" s="50">
        <v>2020</v>
      </c>
      <c r="H9" s="50">
        <v>104725</v>
      </c>
      <c r="I9" s="50">
        <v>13971.8</v>
      </c>
      <c r="J9" s="51">
        <v>2514924</v>
      </c>
      <c r="K9" s="51">
        <v>40705</v>
      </c>
      <c r="L9" s="51">
        <f t="shared" si="0"/>
        <v>2555629</v>
      </c>
      <c r="M9" s="50" t="s">
        <v>54</v>
      </c>
      <c r="N9" s="52">
        <v>59.3</v>
      </c>
      <c r="O9" s="75">
        <f t="shared" si="1"/>
        <v>24.403237049415136</v>
      </c>
      <c r="P9" s="56"/>
      <c r="Q9" s="60" t="s">
        <v>84</v>
      </c>
      <c r="R9" s="68">
        <f>SUM(I2:I201)</f>
        <v>3801141.5999999996</v>
      </c>
      <c r="S9" s="57"/>
    </row>
    <row r="10" spans="1:19" ht="15" customHeight="1" x14ac:dyDescent="0.25">
      <c r="A10" s="74" t="s">
        <v>85</v>
      </c>
      <c r="B10" s="50" t="s">
        <v>61</v>
      </c>
      <c r="C10" s="50" t="s">
        <v>86</v>
      </c>
      <c r="D10" s="50" t="s">
        <v>52</v>
      </c>
      <c r="E10" s="50" t="s">
        <v>64</v>
      </c>
      <c r="F10" s="50">
        <v>2500</v>
      </c>
      <c r="G10" s="50">
        <v>2013</v>
      </c>
      <c r="H10" s="50">
        <v>31829</v>
      </c>
      <c r="I10" s="50">
        <v>5108.7</v>
      </c>
      <c r="J10" s="51">
        <v>996196</v>
      </c>
      <c r="K10" s="51">
        <v>57122</v>
      </c>
      <c r="L10" s="51">
        <f t="shared" si="0"/>
        <v>1053318</v>
      </c>
      <c r="M10" s="50" t="s">
        <v>54</v>
      </c>
      <c r="N10" s="52">
        <v>93.4</v>
      </c>
      <c r="O10" s="75">
        <f t="shared" si="1"/>
        <v>33.093028370354077</v>
      </c>
      <c r="Q10" s="58"/>
      <c r="R10" s="58"/>
    </row>
    <row r="11" spans="1:19" ht="15" customHeight="1" x14ac:dyDescent="0.25">
      <c r="A11" s="74" t="s">
        <v>87</v>
      </c>
      <c r="B11" s="50" t="s">
        <v>75</v>
      </c>
      <c r="C11" s="50" t="s">
        <v>76</v>
      </c>
      <c r="D11" s="50" t="s">
        <v>52</v>
      </c>
      <c r="E11" s="50" t="s">
        <v>53</v>
      </c>
      <c r="F11" s="50">
        <v>3000</v>
      </c>
      <c r="G11" s="50">
        <v>2020</v>
      </c>
      <c r="H11" s="50">
        <v>276740</v>
      </c>
      <c r="I11" s="50">
        <v>33087.9</v>
      </c>
      <c r="J11" s="51">
        <v>5955822</v>
      </c>
      <c r="K11" s="51">
        <v>111027</v>
      </c>
      <c r="L11" s="51">
        <f t="shared" si="0"/>
        <v>6066849</v>
      </c>
      <c r="M11" s="50" t="s">
        <v>54</v>
      </c>
      <c r="N11" s="52">
        <v>59</v>
      </c>
      <c r="O11" s="75">
        <f t="shared" si="1"/>
        <v>21.922559080725591</v>
      </c>
    </row>
    <row r="12" spans="1:19" ht="15" customHeight="1" x14ac:dyDescent="0.25">
      <c r="A12" s="74" t="s">
        <v>88</v>
      </c>
      <c r="B12" s="50" t="s">
        <v>79</v>
      </c>
      <c r="C12" s="50" t="s">
        <v>83</v>
      </c>
      <c r="D12" s="50" t="s">
        <v>89</v>
      </c>
      <c r="E12" s="50" t="s">
        <v>53</v>
      </c>
      <c r="F12" s="50">
        <v>4500</v>
      </c>
      <c r="G12" s="50">
        <v>2014</v>
      </c>
      <c r="H12" s="50">
        <v>239622</v>
      </c>
      <c r="I12" s="50">
        <v>40683.599999999999</v>
      </c>
      <c r="J12" s="51">
        <v>7323048</v>
      </c>
      <c r="K12" s="51">
        <v>56937</v>
      </c>
      <c r="L12" s="51">
        <f t="shared" si="0"/>
        <v>7379985</v>
      </c>
      <c r="M12" s="50" t="s">
        <v>54</v>
      </c>
      <c r="N12" s="52">
        <v>97.9</v>
      </c>
      <c r="O12" s="75">
        <f t="shared" si="1"/>
        <v>30.798445050955255</v>
      </c>
    </row>
    <row r="13" spans="1:19" ht="15" customHeight="1" x14ac:dyDescent="0.25">
      <c r="A13" s="74" t="s">
        <v>90</v>
      </c>
      <c r="B13" s="50" t="s">
        <v>61</v>
      </c>
      <c r="C13" s="50" t="s">
        <v>91</v>
      </c>
      <c r="D13" s="50" t="s">
        <v>58</v>
      </c>
      <c r="E13" s="50" t="s">
        <v>64</v>
      </c>
      <c r="F13" s="50">
        <v>2500</v>
      </c>
      <c r="G13" s="50">
        <v>2011</v>
      </c>
      <c r="H13" s="50">
        <v>95132</v>
      </c>
      <c r="I13" s="50">
        <v>13579.6</v>
      </c>
      <c r="J13" s="51">
        <v>2648022</v>
      </c>
      <c r="K13" s="51">
        <v>98168</v>
      </c>
      <c r="L13" s="51">
        <f t="shared" si="0"/>
        <v>2746190</v>
      </c>
      <c r="M13" s="50" t="s">
        <v>54</v>
      </c>
      <c r="N13" s="52">
        <v>48.4</v>
      </c>
      <c r="O13" s="75">
        <f t="shared" si="1"/>
        <v>28.867153008451414</v>
      </c>
    </row>
    <row r="14" spans="1:19" ht="15" customHeight="1" x14ac:dyDescent="0.25">
      <c r="A14" s="74" t="s">
        <v>92</v>
      </c>
      <c r="B14" s="50" t="s">
        <v>57</v>
      </c>
      <c r="C14" s="50" t="s">
        <v>93</v>
      </c>
      <c r="D14" s="50" t="s">
        <v>94</v>
      </c>
      <c r="E14" s="50" t="s">
        <v>53</v>
      </c>
      <c r="F14" s="50">
        <v>4500</v>
      </c>
      <c r="G14" s="50">
        <v>2014</v>
      </c>
      <c r="H14" s="50">
        <v>21019</v>
      </c>
      <c r="I14" s="50">
        <v>3111.4</v>
      </c>
      <c r="J14" s="51">
        <v>560052</v>
      </c>
      <c r="K14" s="51">
        <v>27028</v>
      </c>
      <c r="L14" s="51">
        <f t="shared" si="0"/>
        <v>587080</v>
      </c>
      <c r="M14" s="50" t="s">
        <v>54</v>
      </c>
      <c r="N14" s="52">
        <v>84.8</v>
      </c>
      <c r="O14" s="75">
        <f t="shared" si="1"/>
        <v>27.9309196441315</v>
      </c>
    </row>
    <row r="15" spans="1:19" ht="15" customHeight="1" x14ac:dyDescent="0.25">
      <c r="A15" s="74" t="s">
        <v>95</v>
      </c>
      <c r="B15" s="50" t="s">
        <v>67</v>
      </c>
      <c r="C15" s="50" t="s">
        <v>96</v>
      </c>
      <c r="D15" s="50" t="s">
        <v>52</v>
      </c>
      <c r="E15" s="50" t="s">
        <v>53</v>
      </c>
      <c r="F15" s="50">
        <v>4000</v>
      </c>
      <c r="G15" s="50">
        <v>2012</v>
      </c>
      <c r="H15" s="50">
        <v>252881</v>
      </c>
      <c r="I15" s="50">
        <v>20312.5</v>
      </c>
      <c r="J15" s="51">
        <v>3656250</v>
      </c>
      <c r="K15" s="51">
        <v>90820</v>
      </c>
      <c r="L15" s="51">
        <f t="shared" si="0"/>
        <v>3747070</v>
      </c>
      <c r="M15" s="50" t="s">
        <v>54</v>
      </c>
      <c r="N15" s="52">
        <v>96.5</v>
      </c>
      <c r="O15" s="75">
        <f t="shared" si="1"/>
        <v>14.817522866486609</v>
      </c>
    </row>
    <row r="16" spans="1:19" ht="15" customHeight="1" x14ac:dyDescent="0.25">
      <c r="A16" s="74" t="s">
        <v>97</v>
      </c>
      <c r="B16" s="50" t="s">
        <v>98</v>
      </c>
      <c r="C16" s="50" t="s">
        <v>99</v>
      </c>
      <c r="D16" s="50" t="s">
        <v>58</v>
      </c>
      <c r="E16" s="50" t="s">
        <v>64</v>
      </c>
      <c r="F16" s="50">
        <v>5000</v>
      </c>
      <c r="G16" s="50">
        <v>2014</v>
      </c>
      <c r="H16" s="50">
        <v>119286</v>
      </c>
      <c r="I16" s="50">
        <v>11366</v>
      </c>
      <c r="J16" s="51">
        <v>2216370</v>
      </c>
      <c r="K16" s="51">
        <v>95064</v>
      </c>
      <c r="L16" s="51">
        <f t="shared" si="0"/>
        <v>2311434</v>
      </c>
      <c r="M16" s="50" t="s">
        <v>54</v>
      </c>
      <c r="N16" s="52">
        <v>86.3</v>
      </c>
      <c r="O16" s="75">
        <f t="shared" si="1"/>
        <v>19.377244605402144</v>
      </c>
    </row>
    <row r="17" spans="1:15" ht="15" customHeight="1" x14ac:dyDescent="0.25">
      <c r="A17" s="74" t="s">
        <v>100</v>
      </c>
      <c r="B17" s="50" t="s">
        <v>61</v>
      </c>
      <c r="C17" s="50" t="s">
        <v>76</v>
      </c>
      <c r="D17" s="50" t="s">
        <v>58</v>
      </c>
      <c r="E17" s="50" t="s">
        <v>64</v>
      </c>
      <c r="F17" s="50">
        <v>4500</v>
      </c>
      <c r="G17" s="50">
        <v>2015</v>
      </c>
      <c r="H17" s="50">
        <v>271170</v>
      </c>
      <c r="I17" s="50">
        <v>22221.8</v>
      </c>
      <c r="J17" s="51">
        <v>4333251</v>
      </c>
      <c r="K17" s="51">
        <v>112555</v>
      </c>
      <c r="L17" s="51">
        <f t="shared" si="0"/>
        <v>4445806</v>
      </c>
      <c r="M17" s="50" t="s">
        <v>54</v>
      </c>
      <c r="N17" s="52">
        <v>89.1</v>
      </c>
      <c r="O17" s="75">
        <f t="shared" si="1"/>
        <v>16.394903566028692</v>
      </c>
    </row>
    <row r="18" spans="1:15" ht="15" customHeight="1" x14ac:dyDescent="0.25">
      <c r="A18" s="74" t="s">
        <v>101</v>
      </c>
      <c r="B18" s="50" t="s">
        <v>71</v>
      </c>
      <c r="C18" s="50" t="s">
        <v>86</v>
      </c>
      <c r="D18" s="50" t="s">
        <v>58</v>
      </c>
      <c r="E18" s="50" t="s">
        <v>53</v>
      </c>
      <c r="F18" s="50">
        <v>3000</v>
      </c>
      <c r="G18" s="50">
        <v>2019</v>
      </c>
      <c r="H18" s="50">
        <v>56291</v>
      </c>
      <c r="I18" s="50">
        <v>4985.3999999999996</v>
      </c>
      <c r="J18" s="51">
        <v>897372</v>
      </c>
      <c r="K18" s="51">
        <v>66029</v>
      </c>
      <c r="L18" s="51">
        <f t="shared" si="0"/>
        <v>963401</v>
      </c>
      <c r="M18" s="50" t="s">
        <v>54</v>
      </c>
      <c r="N18" s="52">
        <v>85.3</v>
      </c>
      <c r="O18" s="75">
        <f t="shared" si="1"/>
        <v>17.114654207599795</v>
      </c>
    </row>
    <row r="19" spans="1:15" ht="15" customHeight="1" x14ac:dyDescent="0.25">
      <c r="A19" s="74" t="s">
        <v>102</v>
      </c>
      <c r="B19" s="50" t="s">
        <v>98</v>
      </c>
      <c r="C19" s="50" t="s">
        <v>103</v>
      </c>
      <c r="D19" s="50" t="s">
        <v>94</v>
      </c>
      <c r="E19" s="50" t="s">
        <v>64</v>
      </c>
      <c r="F19" s="50">
        <v>4500</v>
      </c>
      <c r="G19" s="50">
        <v>2012</v>
      </c>
      <c r="H19" s="50">
        <v>153966</v>
      </c>
      <c r="I19" s="50">
        <v>20441.7</v>
      </c>
      <c r="J19" s="51">
        <v>3986132</v>
      </c>
      <c r="K19" s="51">
        <v>78692</v>
      </c>
      <c r="L19" s="51">
        <f t="shared" si="0"/>
        <v>4064824</v>
      </c>
      <c r="M19" s="50" t="s">
        <v>65</v>
      </c>
      <c r="N19" s="52">
        <v>37.200000000000003</v>
      </c>
      <c r="O19" s="75">
        <f t="shared" si="1"/>
        <v>26.400789784757674</v>
      </c>
    </row>
    <row r="20" spans="1:15" ht="15" customHeight="1" x14ac:dyDescent="0.25">
      <c r="A20" s="74" t="s">
        <v>104</v>
      </c>
      <c r="B20" s="50" t="s">
        <v>79</v>
      </c>
      <c r="C20" s="50" t="s">
        <v>83</v>
      </c>
      <c r="D20" s="50" t="s">
        <v>52</v>
      </c>
      <c r="E20" s="50" t="s">
        <v>53</v>
      </c>
      <c r="F20" s="50">
        <v>4000</v>
      </c>
      <c r="G20" s="50">
        <v>2020</v>
      </c>
      <c r="H20" s="50">
        <v>210779</v>
      </c>
      <c r="I20" s="50">
        <v>26096.5</v>
      </c>
      <c r="J20" s="51">
        <v>4697370</v>
      </c>
      <c r="K20" s="51">
        <v>69345</v>
      </c>
      <c r="L20" s="51">
        <f t="shared" si="0"/>
        <v>4766715</v>
      </c>
      <c r="M20" s="50" t="s">
        <v>54</v>
      </c>
      <c r="N20" s="52">
        <v>56.9</v>
      </c>
      <c r="O20" s="75">
        <f t="shared" si="1"/>
        <v>22.614752892840368</v>
      </c>
    </row>
    <row r="21" spans="1:15" ht="15" customHeight="1" x14ac:dyDescent="0.25">
      <c r="A21" s="74" t="s">
        <v>105</v>
      </c>
      <c r="B21" s="50" t="s">
        <v>67</v>
      </c>
      <c r="C21" s="50" t="s">
        <v>51</v>
      </c>
      <c r="D21" s="50" t="s">
        <v>89</v>
      </c>
      <c r="E21" s="50" t="s">
        <v>53</v>
      </c>
      <c r="F21" s="50">
        <v>4500</v>
      </c>
      <c r="G21" s="50">
        <v>2013</v>
      </c>
      <c r="H21" s="50">
        <v>130457</v>
      </c>
      <c r="I21" s="50">
        <v>10530.4</v>
      </c>
      <c r="J21" s="51">
        <v>1895472</v>
      </c>
      <c r="K21" s="51">
        <v>89323</v>
      </c>
      <c r="L21" s="51">
        <f t="shared" si="0"/>
        <v>1984795</v>
      </c>
      <c r="M21" s="50" t="s">
        <v>54</v>
      </c>
      <c r="N21" s="52">
        <v>48.6</v>
      </c>
      <c r="O21" s="75">
        <f t="shared" si="1"/>
        <v>15.214170186344926</v>
      </c>
    </row>
    <row r="22" spans="1:15" ht="15" customHeight="1" x14ac:dyDescent="0.25">
      <c r="A22" s="74" t="s">
        <v>106</v>
      </c>
      <c r="B22" s="50" t="s">
        <v>107</v>
      </c>
      <c r="C22" s="50" t="s">
        <v>80</v>
      </c>
      <c r="D22" s="50" t="s">
        <v>52</v>
      </c>
      <c r="E22" s="50" t="s">
        <v>53</v>
      </c>
      <c r="F22" s="50">
        <v>2500</v>
      </c>
      <c r="G22" s="50">
        <v>2018</v>
      </c>
      <c r="H22" s="50">
        <v>139782</v>
      </c>
      <c r="I22" s="50">
        <v>15075.2</v>
      </c>
      <c r="J22" s="51">
        <v>2713536</v>
      </c>
      <c r="K22" s="51">
        <v>65969</v>
      </c>
      <c r="L22" s="51">
        <f t="shared" si="0"/>
        <v>2779505</v>
      </c>
      <c r="M22" s="50" t="s">
        <v>54</v>
      </c>
      <c r="N22" s="52">
        <v>83.3</v>
      </c>
      <c r="O22" s="75">
        <f t="shared" si="1"/>
        <v>19.88457025940393</v>
      </c>
    </row>
    <row r="23" spans="1:15" ht="15" customHeight="1" x14ac:dyDescent="0.25">
      <c r="A23" s="74" t="s">
        <v>108</v>
      </c>
      <c r="B23" s="50" t="s">
        <v>75</v>
      </c>
      <c r="C23" s="50" t="s">
        <v>93</v>
      </c>
      <c r="D23" s="50" t="s">
        <v>94</v>
      </c>
      <c r="E23" s="50" t="s">
        <v>53</v>
      </c>
      <c r="F23" s="50">
        <v>3000</v>
      </c>
      <c r="G23" s="50">
        <v>2022</v>
      </c>
      <c r="H23" s="50">
        <v>262974</v>
      </c>
      <c r="I23" s="50">
        <v>42273</v>
      </c>
      <c r="J23" s="51">
        <v>7609140</v>
      </c>
      <c r="K23" s="51">
        <v>34993</v>
      </c>
      <c r="L23" s="51">
        <f t="shared" si="0"/>
        <v>7644133</v>
      </c>
      <c r="M23" s="50" t="s">
        <v>54</v>
      </c>
      <c r="N23" s="52">
        <v>67.8</v>
      </c>
      <c r="O23" s="75">
        <f t="shared" si="1"/>
        <v>29.068018131069991</v>
      </c>
    </row>
    <row r="24" spans="1:15" ht="15" customHeight="1" x14ac:dyDescent="0.25">
      <c r="A24" s="74" t="s">
        <v>109</v>
      </c>
      <c r="B24" s="50" t="s">
        <v>57</v>
      </c>
      <c r="C24" s="50" t="s">
        <v>62</v>
      </c>
      <c r="D24" s="50" t="s">
        <v>94</v>
      </c>
      <c r="E24" s="50" t="s">
        <v>53</v>
      </c>
      <c r="F24" s="50">
        <v>5000</v>
      </c>
      <c r="G24" s="50">
        <v>2010</v>
      </c>
      <c r="H24" s="50">
        <v>66599</v>
      </c>
      <c r="I24" s="50">
        <v>5731.6</v>
      </c>
      <c r="J24" s="51">
        <v>1031688</v>
      </c>
      <c r="K24" s="51">
        <v>91462</v>
      </c>
      <c r="L24" s="51">
        <f t="shared" si="0"/>
        <v>1123150</v>
      </c>
      <c r="M24" s="50" t="s">
        <v>54</v>
      </c>
      <c r="N24" s="52">
        <v>50.8</v>
      </c>
      <c r="O24" s="75">
        <f t="shared" si="1"/>
        <v>16.864367332842836</v>
      </c>
    </row>
    <row r="25" spans="1:15" ht="15" customHeight="1" x14ac:dyDescent="0.25">
      <c r="A25" s="74" t="s">
        <v>110</v>
      </c>
      <c r="B25" s="50" t="s">
        <v>79</v>
      </c>
      <c r="C25" s="50" t="s">
        <v>86</v>
      </c>
      <c r="D25" s="50" t="s">
        <v>89</v>
      </c>
      <c r="E25" s="50" t="s">
        <v>53</v>
      </c>
      <c r="F25" s="50">
        <v>4000</v>
      </c>
      <c r="G25" s="50">
        <v>2012</v>
      </c>
      <c r="H25" s="50">
        <v>236187</v>
      </c>
      <c r="I25" s="50">
        <v>23228.7</v>
      </c>
      <c r="J25" s="51">
        <v>4181166</v>
      </c>
      <c r="K25" s="51">
        <v>63576</v>
      </c>
      <c r="L25" s="51">
        <f t="shared" si="0"/>
        <v>4244742</v>
      </c>
      <c r="M25" s="50" t="s">
        <v>54</v>
      </c>
      <c r="N25" s="52">
        <v>49</v>
      </c>
      <c r="O25" s="75">
        <f t="shared" si="1"/>
        <v>17.971954425942155</v>
      </c>
    </row>
    <row r="26" spans="1:15" ht="15" customHeight="1" x14ac:dyDescent="0.25">
      <c r="A26" s="74" t="s">
        <v>111</v>
      </c>
      <c r="B26" s="50" t="s">
        <v>61</v>
      </c>
      <c r="C26" s="50" t="s">
        <v>96</v>
      </c>
      <c r="D26" s="50" t="s">
        <v>58</v>
      </c>
      <c r="E26" s="50" t="s">
        <v>64</v>
      </c>
      <c r="F26" s="50">
        <v>5000</v>
      </c>
      <c r="G26" s="50">
        <v>2018</v>
      </c>
      <c r="H26" s="50">
        <v>22737</v>
      </c>
      <c r="I26" s="50">
        <v>4022.2</v>
      </c>
      <c r="J26" s="51">
        <v>784329</v>
      </c>
      <c r="K26" s="51">
        <v>112269</v>
      </c>
      <c r="L26" s="51">
        <f t="shared" si="0"/>
        <v>896598</v>
      </c>
      <c r="M26" s="50" t="s">
        <v>54</v>
      </c>
      <c r="N26" s="52">
        <v>53.8</v>
      </c>
      <c r="O26" s="75">
        <f t="shared" si="1"/>
        <v>39.433434490038266</v>
      </c>
    </row>
    <row r="27" spans="1:15" ht="15" customHeight="1" x14ac:dyDescent="0.25">
      <c r="A27" s="74" t="s">
        <v>112</v>
      </c>
      <c r="B27" s="50" t="s">
        <v>113</v>
      </c>
      <c r="C27" s="50" t="s">
        <v>91</v>
      </c>
      <c r="D27" s="50" t="s">
        <v>63</v>
      </c>
      <c r="E27" s="50" t="s">
        <v>53</v>
      </c>
      <c r="F27" s="50">
        <v>4000</v>
      </c>
      <c r="G27" s="50">
        <v>2010</v>
      </c>
      <c r="H27" s="50">
        <v>101317</v>
      </c>
      <c r="I27" s="50">
        <v>11945</v>
      </c>
      <c r="J27" s="51">
        <v>2150100</v>
      </c>
      <c r="K27" s="51">
        <v>118457</v>
      </c>
      <c r="L27" s="51">
        <f t="shared" si="0"/>
        <v>2268557</v>
      </c>
      <c r="M27" s="50" t="s">
        <v>54</v>
      </c>
      <c r="N27" s="52">
        <v>86.6</v>
      </c>
      <c r="O27" s="75">
        <f t="shared" si="1"/>
        <v>22.390684682728466</v>
      </c>
    </row>
    <row r="28" spans="1:15" ht="15" customHeight="1" x14ac:dyDescent="0.25">
      <c r="A28" s="74" t="s">
        <v>114</v>
      </c>
      <c r="B28" s="50" t="s">
        <v>113</v>
      </c>
      <c r="C28" s="50" t="s">
        <v>68</v>
      </c>
      <c r="D28" s="50" t="s">
        <v>94</v>
      </c>
      <c r="E28" s="50" t="s">
        <v>53</v>
      </c>
      <c r="F28" s="50">
        <v>5000</v>
      </c>
      <c r="G28" s="50">
        <v>2021</v>
      </c>
      <c r="H28" s="50">
        <v>270155</v>
      </c>
      <c r="I28" s="50">
        <v>25794.3</v>
      </c>
      <c r="J28" s="51">
        <v>4642974</v>
      </c>
      <c r="K28" s="51">
        <v>46154</v>
      </c>
      <c r="L28" s="51">
        <f t="shared" si="0"/>
        <v>4689128</v>
      </c>
      <c r="M28" s="50" t="s">
        <v>65</v>
      </c>
      <c r="N28" s="52">
        <v>23.2</v>
      </c>
      <c r="O28" s="75">
        <f t="shared" si="1"/>
        <v>17.357176435749846</v>
      </c>
    </row>
    <row r="29" spans="1:15" ht="15" customHeight="1" x14ac:dyDescent="0.25">
      <c r="A29" s="74" t="s">
        <v>115</v>
      </c>
      <c r="B29" s="50" t="s">
        <v>61</v>
      </c>
      <c r="C29" s="50" t="s">
        <v>51</v>
      </c>
      <c r="D29" s="50" t="s">
        <v>52</v>
      </c>
      <c r="E29" s="50" t="s">
        <v>64</v>
      </c>
      <c r="F29" s="50">
        <v>2500</v>
      </c>
      <c r="G29" s="50">
        <v>2010</v>
      </c>
      <c r="H29" s="50">
        <v>264974</v>
      </c>
      <c r="I29" s="50">
        <v>34522.1</v>
      </c>
      <c r="J29" s="51">
        <v>6731810</v>
      </c>
      <c r="K29" s="51">
        <v>104536</v>
      </c>
      <c r="L29" s="51">
        <f t="shared" si="0"/>
        <v>6836346</v>
      </c>
      <c r="M29" s="50" t="s">
        <v>54</v>
      </c>
      <c r="N29" s="52">
        <v>95.9</v>
      </c>
      <c r="O29" s="75">
        <f t="shared" si="1"/>
        <v>25.800063402447034</v>
      </c>
    </row>
    <row r="30" spans="1:15" ht="15" customHeight="1" x14ac:dyDescent="0.25">
      <c r="A30" s="74" t="s">
        <v>116</v>
      </c>
      <c r="B30" s="50" t="s">
        <v>50</v>
      </c>
      <c r="C30" s="50" t="s">
        <v>80</v>
      </c>
      <c r="D30" s="50" t="s">
        <v>63</v>
      </c>
      <c r="E30" s="50" t="s">
        <v>53</v>
      </c>
      <c r="F30" s="50">
        <v>2500</v>
      </c>
      <c r="G30" s="50">
        <v>2019</v>
      </c>
      <c r="H30" s="50">
        <v>50631</v>
      </c>
      <c r="I30" s="50">
        <v>7469.1</v>
      </c>
      <c r="J30" s="51">
        <v>1344438</v>
      </c>
      <c r="K30" s="51">
        <v>39696</v>
      </c>
      <c r="L30" s="51">
        <f t="shared" si="0"/>
        <v>1384134</v>
      </c>
      <c r="M30" s="50" t="s">
        <v>54</v>
      </c>
      <c r="N30" s="52">
        <v>92.2</v>
      </c>
      <c r="O30" s="75">
        <f t="shared" si="1"/>
        <v>27.337678497363274</v>
      </c>
    </row>
    <row r="31" spans="1:15" ht="15" customHeight="1" x14ac:dyDescent="0.25">
      <c r="A31" s="74" t="s">
        <v>117</v>
      </c>
      <c r="B31" s="50" t="s">
        <v>79</v>
      </c>
      <c r="C31" s="50" t="s">
        <v>93</v>
      </c>
      <c r="D31" s="50" t="s">
        <v>89</v>
      </c>
      <c r="E31" s="50" t="s">
        <v>53</v>
      </c>
      <c r="F31" s="50">
        <v>2500</v>
      </c>
      <c r="G31" s="50">
        <v>2019</v>
      </c>
      <c r="H31" s="50">
        <v>57982</v>
      </c>
      <c r="I31" s="50">
        <v>7069.3</v>
      </c>
      <c r="J31" s="51">
        <v>1272474</v>
      </c>
      <c r="K31" s="51">
        <v>76286</v>
      </c>
      <c r="L31" s="51">
        <f t="shared" si="0"/>
        <v>1348760</v>
      </c>
      <c r="M31" s="50" t="s">
        <v>54</v>
      </c>
      <c r="N31" s="52">
        <v>94.5</v>
      </c>
      <c r="O31" s="75">
        <f t="shared" si="1"/>
        <v>23.261701907488529</v>
      </c>
    </row>
    <row r="32" spans="1:15" ht="15" customHeight="1" x14ac:dyDescent="0.25">
      <c r="A32" s="74" t="s">
        <v>118</v>
      </c>
      <c r="B32" s="50" t="s">
        <v>79</v>
      </c>
      <c r="C32" s="50" t="s">
        <v>119</v>
      </c>
      <c r="D32" s="50" t="s">
        <v>52</v>
      </c>
      <c r="E32" s="50" t="s">
        <v>53</v>
      </c>
      <c r="F32" s="50">
        <v>3000</v>
      </c>
      <c r="G32" s="50">
        <v>2014</v>
      </c>
      <c r="H32" s="50">
        <v>222505</v>
      </c>
      <c r="I32" s="50">
        <v>20712.5</v>
      </c>
      <c r="J32" s="51">
        <v>3728250</v>
      </c>
      <c r="K32" s="51">
        <v>82778</v>
      </c>
      <c r="L32" s="51">
        <f t="shared" si="0"/>
        <v>3811028</v>
      </c>
      <c r="M32" s="50" t="s">
        <v>54</v>
      </c>
      <c r="N32" s="52">
        <v>94.2</v>
      </c>
      <c r="O32" s="75">
        <f t="shared" si="1"/>
        <v>17.127830835262127</v>
      </c>
    </row>
    <row r="33" spans="1:15" ht="15" customHeight="1" x14ac:dyDescent="0.25">
      <c r="A33" s="74" t="s">
        <v>120</v>
      </c>
      <c r="B33" s="50" t="s">
        <v>50</v>
      </c>
      <c r="C33" s="50" t="s">
        <v>51</v>
      </c>
      <c r="D33" s="50" t="s">
        <v>94</v>
      </c>
      <c r="E33" s="50" t="s">
        <v>53</v>
      </c>
      <c r="F33" s="50">
        <v>4500</v>
      </c>
      <c r="G33" s="50">
        <v>2019</v>
      </c>
      <c r="H33" s="50">
        <v>67418</v>
      </c>
      <c r="I33" s="50">
        <v>5887.3</v>
      </c>
      <c r="J33" s="51">
        <v>1059714</v>
      </c>
      <c r="K33" s="51">
        <v>37381</v>
      </c>
      <c r="L33" s="51">
        <f t="shared" si="0"/>
        <v>1097095</v>
      </c>
      <c r="M33" s="50" t="s">
        <v>54</v>
      </c>
      <c r="N33" s="52">
        <v>94.5</v>
      </c>
      <c r="O33" s="75">
        <f t="shared" si="1"/>
        <v>16.273027974724851</v>
      </c>
    </row>
    <row r="34" spans="1:15" ht="15" customHeight="1" x14ac:dyDescent="0.25">
      <c r="A34" s="74" t="s">
        <v>121</v>
      </c>
      <c r="B34" s="50" t="s">
        <v>50</v>
      </c>
      <c r="C34" s="50" t="s">
        <v>76</v>
      </c>
      <c r="D34" s="50" t="s">
        <v>63</v>
      </c>
      <c r="E34" s="50" t="s">
        <v>53</v>
      </c>
      <c r="F34" s="50">
        <v>3500</v>
      </c>
      <c r="G34" s="50">
        <v>2014</v>
      </c>
      <c r="H34" s="50">
        <v>97704</v>
      </c>
      <c r="I34" s="50">
        <v>12097.6</v>
      </c>
      <c r="J34" s="51">
        <v>2177568</v>
      </c>
      <c r="K34" s="51">
        <v>72038</v>
      </c>
      <c r="L34" s="51">
        <f t="shared" ref="L34:L65" si="2">J34+K34</f>
        <v>2249606</v>
      </c>
      <c r="M34" s="50" t="s">
        <v>54</v>
      </c>
      <c r="N34" s="52">
        <v>97.1</v>
      </c>
      <c r="O34" s="75">
        <f t="shared" ref="O34:O65" si="3">IF(H34&gt;0,L34/H34,0)</f>
        <v>23.024707279128798</v>
      </c>
    </row>
    <row r="35" spans="1:15" ht="15" customHeight="1" x14ac:dyDescent="0.25">
      <c r="A35" s="74" t="s">
        <v>122</v>
      </c>
      <c r="B35" s="50" t="s">
        <v>61</v>
      </c>
      <c r="C35" s="50" t="s">
        <v>51</v>
      </c>
      <c r="D35" s="50" t="s">
        <v>89</v>
      </c>
      <c r="E35" s="50" t="s">
        <v>64</v>
      </c>
      <c r="F35" s="50">
        <v>3500</v>
      </c>
      <c r="G35" s="50">
        <v>2020</v>
      </c>
      <c r="H35" s="50">
        <v>69309</v>
      </c>
      <c r="I35" s="50">
        <v>12052.3</v>
      </c>
      <c r="J35" s="51">
        <v>2350198</v>
      </c>
      <c r="K35" s="51">
        <v>29101</v>
      </c>
      <c r="L35" s="51">
        <f t="shared" si="2"/>
        <v>2379299</v>
      </c>
      <c r="M35" s="50" t="s">
        <v>54</v>
      </c>
      <c r="N35" s="52">
        <v>50.7</v>
      </c>
      <c r="O35" s="75">
        <f t="shared" si="3"/>
        <v>34.328860609733226</v>
      </c>
    </row>
    <row r="36" spans="1:15" ht="15" customHeight="1" x14ac:dyDescent="0.25">
      <c r="A36" s="74" t="s">
        <v>123</v>
      </c>
      <c r="B36" s="50" t="s">
        <v>61</v>
      </c>
      <c r="C36" s="50" t="s">
        <v>103</v>
      </c>
      <c r="D36" s="50" t="s">
        <v>52</v>
      </c>
      <c r="E36" s="50" t="s">
        <v>64</v>
      </c>
      <c r="F36" s="50">
        <v>3500</v>
      </c>
      <c r="G36" s="50">
        <v>2019</v>
      </c>
      <c r="H36" s="50">
        <v>125430</v>
      </c>
      <c r="I36" s="50">
        <v>19035.400000000001</v>
      </c>
      <c r="J36" s="51">
        <v>3711903</v>
      </c>
      <c r="K36" s="51">
        <v>36378</v>
      </c>
      <c r="L36" s="51">
        <f t="shared" si="2"/>
        <v>3748281</v>
      </c>
      <c r="M36" s="50" t="s">
        <v>54</v>
      </c>
      <c r="N36" s="52">
        <v>59</v>
      </c>
      <c r="O36" s="75">
        <f t="shared" si="3"/>
        <v>29.883448935661324</v>
      </c>
    </row>
    <row r="37" spans="1:15" ht="15" customHeight="1" x14ac:dyDescent="0.25">
      <c r="A37" s="74" t="s">
        <v>124</v>
      </c>
      <c r="B37" s="50" t="s">
        <v>113</v>
      </c>
      <c r="C37" s="50" t="s">
        <v>68</v>
      </c>
      <c r="D37" s="50" t="s">
        <v>58</v>
      </c>
      <c r="E37" s="50" t="s">
        <v>53</v>
      </c>
      <c r="F37" s="50">
        <v>2500</v>
      </c>
      <c r="G37" s="50">
        <v>2020</v>
      </c>
      <c r="H37" s="50">
        <v>237075</v>
      </c>
      <c r="I37" s="50">
        <v>38627.800000000003</v>
      </c>
      <c r="J37" s="51">
        <v>6953004</v>
      </c>
      <c r="K37" s="51">
        <v>19629</v>
      </c>
      <c r="L37" s="51">
        <f t="shared" si="2"/>
        <v>6972633</v>
      </c>
      <c r="M37" s="50" t="s">
        <v>54</v>
      </c>
      <c r="N37" s="52">
        <v>51.9</v>
      </c>
      <c r="O37" s="75">
        <f t="shared" si="3"/>
        <v>29.411085099652009</v>
      </c>
    </row>
    <row r="38" spans="1:15" ht="15" customHeight="1" x14ac:dyDescent="0.25">
      <c r="A38" s="74" t="s">
        <v>125</v>
      </c>
      <c r="B38" s="50" t="s">
        <v>71</v>
      </c>
      <c r="C38" s="50" t="s">
        <v>103</v>
      </c>
      <c r="D38" s="50" t="s">
        <v>94</v>
      </c>
      <c r="E38" s="50" t="s">
        <v>53</v>
      </c>
      <c r="F38" s="50">
        <v>4500</v>
      </c>
      <c r="G38" s="50">
        <v>2021</v>
      </c>
      <c r="H38" s="50">
        <v>239231</v>
      </c>
      <c r="I38" s="50">
        <v>32557.1</v>
      </c>
      <c r="J38" s="51">
        <v>5860278</v>
      </c>
      <c r="K38" s="51">
        <v>26747</v>
      </c>
      <c r="L38" s="51">
        <f t="shared" si="2"/>
        <v>5887025</v>
      </c>
      <c r="M38" s="50" t="s">
        <v>69</v>
      </c>
      <c r="N38" s="52">
        <v>27.6</v>
      </c>
      <c r="O38" s="75">
        <f t="shared" si="3"/>
        <v>24.608119349081015</v>
      </c>
    </row>
    <row r="39" spans="1:15" ht="15" customHeight="1" x14ac:dyDescent="0.25">
      <c r="A39" s="74" t="s">
        <v>126</v>
      </c>
      <c r="B39" s="50" t="s">
        <v>98</v>
      </c>
      <c r="C39" s="50" t="s">
        <v>99</v>
      </c>
      <c r="D39" s="50" t="s">
        <v>58</v>
      </c>
      <c r="E39" s="50" t="s">
        <v>64</v>
      </c>
      <c r="F39" s="50">
        <v>3500</v>
      </c>
      <c r="G39" s="50">
        <v>2019</v>
      </c>
      <c r="H39" s="50">
        <v>92643</v>
      </c>
      <c r="I39" s="50">
        <v>11393.1</v>
      </c>
      <c r="J39" s="51">
        <v>2221654</v>
      </c>
      <c r="K39" s="51">
        <v>19392</v>
      </c>
      <c r="L39" s="51">
        <f t="shared" si="2"/>
        <v>2241046</v>
      </c>
      <c r="M39" s="50" t="s">
        <v>54</v>
      </c>
      <c r="N39" s="52">
        <v>94.5</v>
      </c>
      <c r="O39" s="75">
        <f t="shared" si="3"/>
        <v>24.190127694483124</v>
      </c>
    </row>
    <row r="40" spans="1:15" ht="15" customHeight="1" x14ac:dyDescent="0.25">
      <c r="A40" s="74" t="s">
        <v>127</v>
      </c>
      <c r="B40" s="50" t="s">
        <v>107</v>
      </c>
      <c r="C40" s="50" t="s">
        <v>76</v>
      </c>
      <c r="D40" s="50" t="s">
        <v>52</v>
      </c>
      <c r="E40" s="50" t="s">
        <v>53</v>
      </c>
      <c r="F40" s="50">
        <v>3000</v>
      </c>
      <c r="G40" s="50">
        <v>2020</v>
      </c>
      <c r="H40" s="50">
        <v>145825</v>
      </c>
      <c r="I40" s="50">
        <v>21391.599999999999</v>
      </c>
      <c r="J40" s="51">
        <v>3850488</v>
      </c>
      <c r="K40" s="51">
        <v>52136</v>
      </c>
      <c r="L40" s="51">
        <f t="shared" si="2"/>
        <v>3902624</v>
      </c>
      <c r="M40" s="50" t="s">
        <v>54</v>
      </c>
      <c r="N40" s="52">
        <v>91.4</v>
      </c>
      <c r="O40" s="75">
        <f t="shared" si="3"/>
        <v>26.762379564546546</v>
      </c>
    </row>
    <row r="41" spans="1:15" ht="15" customHeight="1" x14ac:dyDescent="0.25">
      <c r="A41" s="74" t="s">
        <v>128</v>
      </c>
      <c r="B41" s="50" t="s">
        <v>75</v>
      </c>
      <c r="C41" s="50" t="s">
        <v>83</v>
      </c>
      <c r="D41" s="50" t="s">
        <v>63</v>
      </c>
      <c r="E41" s="50" t="s">
        <v>53</v>
      </c>
      <c r="F41" s="50">
        <v>3000</v>
      </c>
      <c r="G41" s="50">
        <v>2012</v>
      </c>
      <c r="H41" s="50">
        <v>107826</v>
      </c>
      <c r="I41" s="50">
        <v>18130</v>
      </c>
      <c r="J41" s="51">
        <v>3263400</v>
      </c>
      <c r="K41" s="51">
        <v>17603</v>
      </c>
      <c r="L41" s="51">
        <f t="shared" si="2"/>
        <v>3281003</v>
      </c>
      <c r="M41" s="50" t="s">
        <v>54</v>
      </c>
      <c r="N41" s="52">
        <v>62.6</v>
      </c>
      <c r="O41" s="75">
        <f t="shared" si="3"/>
        <v>30.4286813940979</v>
      </c>
    </row>
    <row r="42" spans="1:15" ht="15" customHeight="1" x14ac:dyDescent="0.25">
      <c r="A42" s="74" t="s">
        <v>129</v>
      </c>
      <c r="B42" s="50" t="s">
        <v>57</v>
      </c>
      <c r="C42" s="50" t="s">
        <v>72</v>
      </c>
      <c r="D42" s="50" t="s">
        <v>63</v>
      </c>
      <c r="E42" s="50" t="s">
        <v>53</v>
      </c>
      <c r="F42" s="50">
        <v>3500</v>
      </c>
      <c r="G42" s="50">
        <v>2012</v>
      </c>
      <c r="H42" s="50">
        <v>71673</v>
      </c>
      <c r="I42" s="50">
        <v>8475.6</v>
      </c>
      <c r="J42" s="51">
        <v>1525608</v>
      </c>
      <c r="K42" s="51">
        <v>19066</v>
      </c>
      <c r="L42" s="51">
        <f t="shared" si="2"/>
        <v>1544674</v>
      </c>
      <c r="M42" s="50" t="s">
        <v>54</v>
      </c>
      <c r="N42" s="52">
        <v>55.6</v>
      </c>
      <c r="O42" s="75">
        <f t="shared" si="3"/>
        <v>21.551686130062926</v>
      </c>
    </row>
    <row r="43" spans="1:15" ht="15" customHeight="1" x14ac:dyDescent="0.25">
      <c r="A43" s="74" t="s">
        <v>130</v>
      </c>
      <c r="B43" s="50" t="s">
        <v>113</v>
      </c>
      <c r="C43" s="50" t="s">
        <v>131</v>
      </c>
      <c r="D43" s="50" t="s">
        <v>52</v>
      </c>
      <c r="E43" s="50" t="s">
        <v>53</v>
      </c>
      <c r="F43" s="50">
        <v>3000</v>
      </c>
      <c r="G43" s="50">
        <v>2013</v>
      </c>
      <c r="H43" s="50">
        <v>27406</v>
      </c>
      <c r="I43" s="50">
        <v>4001.4</v>
      </c>
      <c r="J43" s="51">
        <v>720252</v>
      </c>
      <c r="K43" s="51">
        <v>56839</v>
      </c>
      <c r="L43" s="51">
        <f t="shared" si="2"/>
        <v>777091</v>
      </c>
      <c r="M43" s="50" t="s">
        <v>54</v>
      </c>
      <c r="N43" s="52">
        <v>48.7</v>
      </c>
      <c r="O43" s="75">
        <f t="shared" si="3"/>
        <v>28.354776326351892</v>
      </c>
    </row>
    <row r="44" spans="1:15" ht="15" customHeight="1" x14ac:dyDescent="0.25">
      <c r="A44" s="74" t="s">
        <v>132</v>
      </c>
      <c r="B44" s="50" t="s">
        <v>71</v>
      </c>
      <c r="C44" s="50" t="s">
        <v>131</v>
      </c>
      <c r="D44" s="50" t="s">
        <v>89</v>
      </c>
      <c r="E44" s="50" t="s">
        <v>53</v>
      </c>
      <c r="F44" s="50">
        <v>4000</v>
      </c>
      <c r="G44" s="50">
        <v>2020</v>
      </c>
      <c r="H44" s="50">
        <v>188617</v>
      </c>
      <c r="I44" s="50">
        <v>32805</v>
      </c>
      <c r="J44" s="51">
        <v>5904900</v>
      </c>
      <c r="K44" s="51">
        <v>27111</v>
      </c>
      <c r="L44" s="51">
        <f t="shared" si="2"/>
        <v>5932011</v>
      </c>
      <c r="M44" s="50" t="s">
        <v>65</v>
      </c>
      <c r="N44" s="52">
        <v>7.1</v>
      </c>
      <c r="O44" s="75">
        <f t="shared" si="3"/>
        <v>31.450033666106449</v>
      </c>
    </row>
    <row r="45" spans="1:15" ht="15" customHeight="1" x14ac:dyDescent="0.25">
      <c r="A45" s="74" t="s">
        <v>133</v>
      </c>
      <c r="B45" s="50" t="s">
        <v>71</v>
      </c>
      <c r="C45" s="50" t="s">
        <v>51</v>
      </c>
      <c r="D45" s="50" t="s">
        <v>58</v>
      </c>
      <c r="E45" s="50" t="s">
        <v>53</v>
      </c>
      <c r="F45" s="50">
        <v>4500</v>
      </c>
      <c r="G45" s="50">
        <v>2016</v>
      </c>
      <c r="H45" s="50">
        <v>196239</v>
      </c>
      <c r="I45" s="50">
        <v>29996</v>
      </c>
      <c r="J45" s="51">
        <v>5399280</v>
      </c>
      <c r="K45" s="51">
        <v>47936</v>
      </c>
      <c r="L45" s="51">
        <f t="shared" si="2"/>
        <v>5447216</v>
      </c>
      <c r="M45" s="50" t="s">
        <v>54</v>
      </c>
      <c r="N45" s="52">
        <v>72.099999999999994</v>
      </c>
      <c r="O45" s="75">
        <f t="shared" si="3"/>
        <v>27.758070516054403</v>
      </c>
    </row>
    <row r="46" spans="1:15" ht="15" customHeight="1" x14ac:dyDescent="0.25">
      <c r="A46" s="74" t="s">
        <v>134</v>
      </c>
      <c r="B46" s="50" t="s">
        <v>57</v>
      </c>
      <c r="C46" s="50" t="s">
        <v>76</v>
      </c>
      <c r="D46" s="50" t="s">
        <v>89</v>
      </c>
      <c r="E46" s="50" t="s">
        <v>53</v>
      </c>
      <c r="F46" s="50">
        <v>3000</v>
      </c>
      <c r="G46" s="50">
        <v>2014</v>
      </c>
      <c r="H46" s="50">
        <v>38271</v>
      </c>
      <c r="I46" s="50">
        <v>5774.3</v>
      </c>
      <c r="J46" s="51">
        <v>1039374</v>
      </c>
      <c r="K46" s="51">
        <v>15178</v>
      </c>
      <c r="L46" s="51">
        <f t="shared" si="2"/>
        <v>1054552</v>
      </c>
      <c r="M46" s="50" t="s">
        <v>69</v>
      </c>
      <c r="N46" s="52">
        <v>21.5</v>
      </c>
      <c r="O46" s="75">
        <f t="shared" si="3"/>
        <v>27.554858770348307</v>
      </c>
    </row>
    <row r="47" spans="1:15" ht="15" customHeight="1" x14ac:dyDescent="0.25">
      <c r="A47" s="74" t="s">
        <v>135</v>
      </c>
      <c r="B47" s="50" t="s">
        <v>79</v>
      </c>
      <c r="C47" s="50" t="s">
        <v>131</v>
      </c>
      <c r="D47" s="50" t="s">
        <v>94</v>
      </c>
      <c r="E47" s="50" t="s">
        <v>53</v>
      </c>
      <c r="F47" s="50">
        <v>2500</v>
      </c>
      <c r="G47" s="50">
        <v>2020</v>
      </c>
      <c r="H47" s="50">
        <v>188119</v>
      </c>
      <c r="I47" s="50">
        <v>26772.3</v>
      </c>
      <c r="J47" s="51">
        <v>4819014</v>
      </c>
      <c r="K47" s="51">
        <v>84656</v>
      </c>
      <c r="L47" s="51">
        <f t="shared" si="2"/>
        <v>4903670</v>
      </c>
      <c r="M47" s="50" t="s">
        <v>54</v>
      </c>
      <c r="N47" s="52">
        <v>92.7</v>
      </c>
      <c r="O47" s="75">
        <f t="shared" si="3"/>
        <v>26.066851301569752</v>
      </c>
    </row>
    <row r="48" spans="1:15" ht="15" customHeight="1" x14ac:dyDescent="0.25">
      <c r="A48" s="74" t="s">
        <v>136</v>
      </c>
      <c r="B48" s="50" t="s">
        <v>61</v>
      </c>
      <c r="C48" s="50" t="s">
        <v>68</v>
      </c>
      <c r="D48" s="50" t="s">
        <v>94</v>
      </c>
      <c r="E48" s="50" t="s">
        <v>64</v>
      </c>
      <c r="F48" s="50">
        <v>3500</v>
      </c>
      <c r="G48" s="50">
        <v>2016</v>
      </c>
      <c r="H48" s="50">
        <v>170008</v>
      </c>
      <c r="I48" s="50">
        <v>23026.1</v>
      </c>
      <c r="J48" s="51">
        <v>4490090</v>
      </c>
      <c r="K48" s="51">
        <v>35143</v>
      </c>
      <c r="L48" s="51">
        <f t="shared" si="2"/>
        <v>4525233</v>
      </c>
      <c r="M48" s="50" t="s">
        <v>54</v>
      </c>
      <c r="N48" s="52">
        <v>65.099999999999994</v>
      </c>
      <c r="O48" s="75">
        <f t="shared" si="3"/>
        <v>26.617765046350758</v>
      </c>
    </row>
    <row r="49" spans="1:15" ht="15" customHeight="1" x14ac:dyDescent="0.25">
      <c r="A49" s="74" t="s">
        <v>137</v>
      </c>
      <c r="B49" s="50" t="s">
        <v>98</v>
      </c>
      <c r="C49" s="50" t="s">
        <v>93</v>
      </c>
      <c r="D49" s="50" t="s">
        <v>89</v>
      </c>
      <c r="E49" s="50" t="s">
        <v>64</v>
      </c>
      <c r="F49" s="50">
        <v>3500</v>
      </c>
      <c r="G49" s="50">
        <v>2016</v>
      </c>
      <c r="H49" s="50">
        <v>15212</v>
      </c>
      <c r="I49" s="50">
        <v>1679.2</v>
      </c>
      <c r="J49" s="51">
        <v>327444</v>
      </c>
      <c r="K49" s="51">
        <v>37069</v>
      </c>
      <c r="L49" s="51">
        <f t="shared" si="2"/>
        <v>364513</v>
      </c>
      <c r="M49" s="50" t="s">
        <v>54</v>
      </c>
      <c r="N49" s="52">
        <v>77.2</v>
      </c>
      <c r="O49" s="75">
        <f t="shared" si="3"/>
        <v>23.962200894031028</v>
      </c>
    </row>
    <row r="50" spans="1:15" ht="15" customHeight="1" x14ac:dyDescent="0.25">
      <c r="A50" s="74" t="s">
        <v>138</v>
      </c>
      <c r="B50" s="50" t="s">
        <v>67</v>
      </c>
      <c r="C50" s="50" t="s">
        <v>91</v>
      </c>
      <c r="D50" s="50" t="s">
        <v>94</v>
      </c>
      <c r="E50" s="50" t="s">
        <v>53</v>
      </c>
      <c r="F50" s="50">
        <v>4000</v>
      </c>
      <c r="G50" s="50">
        <v>2020</v>
      </c>
      <c r="H50" s="50">
        <v>127041</v>
      </c>
      <c r="I50" s="50">
        <v>16657.3</v>
      </c>
      <c r="J50" s="51">
        <v>2998314</v>
      </c>
      <c r="K50" s="51">
        <v>98342</v>
      </c>
      <c r="L50" s="51">
        <f t="shared" si="2"/>
        <v>3096656</v>
      </c>
      <c r="M50" s="50" t="s">
        <v>65</v>
      </c>
      <c r="N50" s="52">
        <v>29.4</v>
      </c>
      <c r="O50" s="75">
        <f t="shared" si="3"/>
        <v>24.375248935383066</v>
      </c>
    </row>
    <row r="51" spans="1:15" ht="15" customHeight="1" x14ac:dyDescent="0.25">
      <c r="A51" s="74" t="s">
        <v>139</v>
      </c>
      <c r="B51" s="50" t="s">
        <v>50</v>
      </c>
      <c r="C51" s="50" t="s">
        <v>68</v>
      </c>
      <c r="D51" s="50" t="s">
        <v>89</v>
      </c>
      <c r="E51" s="50" t="s">
        <v>53</v>
      </c>
      <c r="F51" s="50">
        <v>5000</v>
      </c>
      <c r="G51" s="50">
        <v>2020</v>
      </c>
      <c r="H51" s="50">
        <v>190735</v>
      </c>
      <c r="I51" s="50">
        <v>17040</v>
      </c>
      <c r="J51" s="51">
        <v>3067200</v>
      </c>
      <c r="K51" s="51">
        <v>114960</v>
      </c>
      <c r="L51" s="51">
        <f t="shared" si="2"/>
        <v>3182160</v>
      </c>
      <c r="M51" s="50" t="s">
        <v>54</v>
      </c>
      <c r="N51" s="52">
        <v>61.5</v>
      </c>
      <c r="O51" s="75">
        <f t="shared" si="3"/>
        <v>16.683671061944583</v>
      </c>
    </row>
    <row r="52" spans="1:15" ht="15" customHeight="1" x14ac:dyDescent="0.25">
      <c r="A52" s="74" t="s">
        <v>140</v>
      </c>
      <c r="B52" s="50" t="s">
        <v>79</v>
      </c>
      <c r="C52" s="50" t="s">
        <v>103</v>
      </c>
      <c r="D52" s="50" t="s">
        <v>58</v>
      </c>
      <c r="E52" s="50" t="s">
        <v>53</v>
      </c>
      <c r="F52" s="50">
        <v>2500</v>
      </c>
      <c r="G52" s="50">
        <v>2013</v>
      </c>
      <c r="H52" s="50">
        <v>264108</v>
      </c>
      <c r="I52" s="50">
        <v>37272.9</v>
      </c>
      <c r="J52" s="51">
        <v>6709122</v>
      </c>
      <c r="K52" s="51">
        <v>95691</v>
      </c>
      <c r="L52" s="51">
        <f t="shared" si="2"/>
        <v>6804813</v>
      </c>
      <c r="M52" s="50" t="s">
        <v>54</v>
      </c>
      <c r="N52" s="52">
        <v>92</v>
      </c>
      <c r="O52" s="75">
        <f t="shared" si="3"/>
        <v>25.765266481893772</v>
      </c>
    </row>
    <row r="53" spans="1:15" ht="15" customHeight="1" x14ac:dyDescent="0.25">
      <c r="A53" s="74" t="s">
        <v>141</v>
      </c>
      <c r="B53" s="50" t="s">
        <v>75</v>
      </c>
      <c r="C53" s="50" t="s">
        <v>86</v>
      </c>
      <c r="D53" s="50" t="s">
        <v>94</v>
      </c>
      <c r="E53" s="50" t="s">
        <v>53</v>
      </c>
      <c r="F53" s="50">
        <v>4000</v>
      </c>
      <c r="G53" s="50">
        <v>2016</v>
      </c>
      <c r="H53" s="50">
        <v>142918</v>
      </c>
      <c r="I53" s="50">
        <v>13542.5</v>
      </c>
      <c r="J53" s="51">
        <v>2437650</v>
      </c>
      <c r="K53" s="51">
        <v>87200</v>
      </c>
      <c r="L53" s="51">
        <f t="shared" si="2"/>
        <v>2524850</v>
      </c>
      <c r="M53" s="50" t="s">
        <v>54</v>
      </c>
      <c r="N53" s="52">
        <v>90.6</v>
      </c>
      <c r="O53" s="75">
        <f t="shared" si="3"/>
        <v>17.66642410333198</v>
      </c>
    </row>
    <row r="54" spans="1:15" ht="15" customHeight="1" x14ac:dyDescent="0.25">
      <c r="A54" s="74" t="s">
        <v>142</v>
      </c>
      <c r="B54" s="50" t="s">
        <v>50</v>
      </c>
      <c r="C54" s="50" t="s">
        <v>72</v>
      </c>
      <c r="D54" s="50" t="s">
        <v>94</v>
      </c>
      <c r="E54" s="50" t="s">
        <v>53</v>
      </c>
      <c r="F54" s="50">
        <v>3000</v>
      </c>
      <c r="G54" s="50">
        <v>2012</v>
      </c>
      <c r="H54" s="50">
        <v>258557</v>
      </c>
      <c r="I54" s="50">
        <v>21983</v>
      </c>
      <c r="J54" s="51">
        <v>3956940</v>
      </c>
      <c r="K54" s="51">
        <v>41166</v>
      </c>
      <c r="L54" s="51">
        <f t="shared" si="2"/>
        <v>3998106</v>
      </c>
      <c r="M54" s="50" t="s">
        <v>54</v>
      </c>
      <c r="N54" s="52">
        <v>69.2</v>
      </c>
      <c r="O54" s="75">
        <f t="shared" si="3"/>
        <v>15.463151258716646</v>
      </c>
    </row>
    <row r="55" spans="1:15" ht="15" customHeight="1" x14ac:dyDescent="0.25">
      <c r="A55" s="74" t="s">
        <v>143</v>
      </c>
      <c r="B55" s="50" t="s">
        <v>113</v>
      </c>
      <c r="C55" s="50" t="s">
        <v>119</v>
      </c>
      <c r="D55" s="50" t="s">
        <v>89</v>
      </c>
      <c r="E55" s="50" t="s">
        <v>53</v>
      </c>
      <c r="F55" s="50">
        <v>4500</v>
      </c>
      <c r="G55" s="50">
        <v>2019</v>
      </c>
      <c r="H55" s="50">
        <v>181355</v>
      </c>
      <c r="I55" s="50">
        <v>31737.8</v>
      </c>
      <c r="J55" s="51">
        <v>5712804</v>
      </c>
      <c r="K55" s="51">
        <v>108600</v>
      </c>
      <c r="L55" s="51">
        <f t="shared" si="2"/>
        <v>5821404</v>
      </c>
      <c r="M55" s="50" t="s">
        <v>54</v>
      </c>
      <c r="N55" s="52">
        <v>83.1</v>
      </c>
      <c r="O55" s="75">
        <f t="shared" si="3"/>
        <v>32.099495464696311</v>
      </c>
    </row>
    <row r="56" spans="1:15" ht="15" customHeight="1" x14ac:dyDescent="0.25">
      <c r="A56" s="74" t="s">
        <v>144</v>
      </c>
      <c r="B56" s="50" t="s">
        <v>61</v>
      </c>
      <c r="C56" s="50" t="s">
        <v>62</v>
      </c>
      <c r="D56" s="50" t="s">
        <v>89</v>
      </c>
      <c r="E56" s="50" t="s">
        <v>64</v>
      </c>
      <c r="F56" s="50">
        <v>4000</v>
      </c>
      <c r="G56" s="50">
        <v>2012</v>
      </c>
      <c r="H56" s="50">
        <v>263866</v>
      </c>
      <c r="I56" s="50">
        <v>32985.1</v>
      </c>
      <c r="J56" s="51">
        <v>6432094</v>
      </c>
      <c r="K56" s="51">
        <v>93937</v>
      </c>
      <c r="L56" s="51">
        <f t="shared" si="2"/>
        <v>6526031</v>
      </c>
      <c r="M56" s="50" t="s">
        <v>54</v>
      </c>
      <c r="N56" s="52">
        <v>59.7</v>
      </c>
      <c r="O56" s="75">
        <f t="shared" si="3"/>
        <v>24.732367944335383</v>
      </c>
    </row>
    <row r="57" spans="1:15" ht="15" customHeight="1" x14ac:dyDescent="0.25">
      <c r="A57" s="74" t="s">
        <v>145</v>
      </c>
      <c r="B57" s="50" t="s">
        <v>61</v>
      </c>
      <c r="C57" s="50" t="s">
        <v>91</v>
      </c>
      <c r="D57" s="50" t="s">
        <v>63</v>
      </c>
      <c r="E57" s="50" t="s">
        <v>64</v>
      </c>
      <c r="F57" s="50">
        <v>3500</v>
      </c>
      <c r="G57" s="50">
        <v>2017</v>
      </c>
      <c r="H57" s="50">
        <v>55623</v>
      </c>
      <c r="I57" s="50">
        <v>8418.7999999999993</v>
      </c>
      <c r="J57" s="51">
        <v>1641666</v>
      </c>
      <c r="K57" s="51">
        <v>39622</v>
      </c>
      <c r="L57" s="51">
        <f t="shared" si="2"/>
        <v>1681288</v>
      </c>
      <c r="M57" s="50" t="s">
        <v>54</v>
      </c>
      <c r="N57" s="52">
        <v>92.3</v>
      </c>
      <c r="O57" s="75">
        <f t="shared" si="3"/>
        <v>30.226489042302646</v>
      </c>
    </row>
    <row r="58" spans="1:15" ht="15" customHeight="1" x14ac:dyDescent="0.25">
      <c r="A58" s="74" t="s">
        <v>146</v>
      </c>
      <c r="B58" s="50" t="s">
        <v>50</v>
      </c>
      <c r="C58" s="50" t="s">
        <v>103</v>
      </c>
      <c r="D58" s="50" t="s">
        <v>63</v>
      </c>
      <c r="E58" s="50" t="s">
        <v>53</v>
      </c>
      <c r="F58" s="50">
        <v>3000</v>
      </c>
      <c r="G58" s="50">
        <v>2016</v>
      </c>
      <c r="H58" s="50">
        <v>95113</v>
      </c>
      <c r="I58" s="50">
        <v>14328</v>
      </c>
      <c r="J58" s="51">
        <v>2579040</v>
      </c>
      <c r="K58" s="51">
        <v>21744</v>
      </c>
      <c r="L58" s="51">
        <f t="shared" si="2"/>
        <v>2600784</v>
      </c>
      <c r="M58" s="50" t="s">
        <v>54</v>
      </c>
      <c r="N58" s="52">
        <v>73.8</v>
      </c>
      <c r="O58" s="75">
        <f t="shared" si="3"/>
        <v>27.344148539106115</v>
      </c>
    </row>
    <row r="59" spans="1:15" ht="15" customHeight="1" x14ac:dyDescent="0.25">
      <c r="A59" s="74" t="s">
        <v>147</v>
      </c>
      <c r="B59" s="50" t="s">
        <v>57</v>
      </c>
      <c r="C59" s="50" t="s">
        <v>51</v>
      </c>
      <c r="D59" s="50" t="s">
        <v>63</v>
      </c>
      <c r="E59" s="50" t="s">
        <v>53</v>
      </c>
      <c r="F59" s="50">
        <v>4000</v>
      </c>
      <c r="G59" s="50">
        <v>2016</v>
      </c>
      <c r="H59" s="50">
        <v>25240</v>
      </c>
      <c r="I59" s="50">
        <v>4181.6000000000004</v>
      </c>
      <c r="J59" s="51">
        <v>752688</v>
      </c>
      <c r="K59" s="51">
        <v>95387</v>
      </c>
      <c r="L59" s="51">
        <f t="shared" si="2"/>
        <v>848075</v>
      </c>
      <c r="M59" s="50" t="s">
        <v>54</v>
      </c>
      <c r="N59" s="52">
        <v>45.3</v>
      </c>
      <c r="O59" s="75">
        <f t="shared" si="3"/>
        <v>33.600435816164818</v>
      </c>
    </row>
    <row r="60" spans="1:15" ht="15" customHeight="1" x14ac:dyDescent="0.25">
      <c r="A60" s="74" t="s">
        <v>148</v>
      </c>
      <c r="B60" s="50" t="s">
        <v>67</v>
      </c>
      <c r="C60" s="50" t="s">
        <v>68</v>
      </c>
      <c r="D60" s="50" t="s">
        <v>94</v>
      </c>
      <c r="E60" s="50" t="s">
        <v>53</v>
      </c>
      <c r="F60" s="50">
        <v>4000</v>
      </c>
      <c r="G60" s="50">
        <v>2018</v>
      </c>
      <c r="H60" s="50">
        <v>130625</v>
      </c>
      <c r="I60" s="50">
        <v>16827.5</v>
      </c>
      <c r="J60" s="51">
        <v>3028950</v>
      </c>
      <c r="K60" s="51">
        <v>43658</v>
      </c>
      <c r="L60" s="51">
        <f t="shared" si="2"/>
        <v>3072608</v>
      </c>
      <c r="M60" s="50" t="s">
        <v>54</v>
      </c>
      <c r="N60" s="52">
        <v>65.599999999999994</v>
      </c>
      <c r="O60" s="75">
        <f t="shared" si="3"/>
        <v>23.522357894736842</v>
      </c>
    </row>
    <row r="61" spans="1:15" ht="15" customHeight="1" x14ac:dyDescent="0.25">
      <c r="A61" s="74" t="s">
        <v>149</v>
      </c>
      <c r="B61" s="50" t="s">
        <v>57</v>
      </c>
      <c r="C61" s="50" t="s">
        <v>83</v>
      </c>
      <c r="D61" s="50" t="s">
        <v>63</v>
      </c>
      <c r="E61" s="50" t="s">
        <v>53</v>
      </c>
      <c r="F61" s="50">
        <v>4000</v>
      </c>
      <c r="G61" s="50">
        <v>2012</v>
      </c>
      <c r="H61" s="50">
        <v>29138</v>
      </c>
      <c r="I61" s="50">
        <v>4973.6000000000004</v>
      </c>
      <c r="J61" s="51">
        <v>895248</v>
      </c>
      <c r="K61" s="51">
        <v>77149</v>
      </c>
      <c r="L61" s="51">
        <f t="shared" si="2"/>
        <v>972397</v>
      </c>
      <c r="M61" s="50" t="s">
        <v>54</v>
      </c>
      <c r="N61" s="52">
        <v>49.4</v>
      </c>
      <c r="O61" s="75">
        <f t="shared" si="3"/>
        <v>33.372125746447935</v>
      </c>
    </row>
    <row r="62" spans="1:15" ht="15" customHeight="1" x14ac:dyDescent="0.25">
      <c r="A62" s="74" t="s">
        <v>150</v>
      </c>
      <c r="B62" s="50" t="s">
        <v>57</v>
      </c>
      <c r="C62" s="50" t="s">
        <v>103</v>
      </c>
      <c r="D62" s="50" t="s">
        <v>94</v>
      </c>
      <c r="E62" s="50" t="s">
        <v>53</v>
      </c>
      <c r="F62" s="50">
        <v>3000</v>
      </c>
      <c r="G62" s="50">
        <v>2010</v>
      </c>
      <c r="H62" s="50">
        <v>151396</v>
      </c>
      <c r="I62" s="50">
        <v>17851.2</v>
      </c>
      <c r="J62" s="51">
        <v>3213216</v>
      </c>
      <c r="K62" s="51">
        <v>37224</v>
      </c>
      <c r="L62" s="51">
        <f t="shared" si="2"/>
        <v>3250440</v>
      </c>
      <c r="M62" s="50" t="s">
        <v>54</v>
      </c>
      <c r="N62" s="52">
        <v>85.3</v>
      </c>
      <c r="O62" s="75">
        <f t="shared" si="3"/>
        <v>21.469787841158286</v>
      </c>
    </row>
    <row r="63" spans="1:15" ht="15" customHeight="1" x14ac:dyDescent="0.25">
      <c r="A63" s="74" t="s">
        <v>151</v>
      </c>
      <c r="B63" s="50" t="s">
        <v>57</v>
      </c>
      <c r="C63" s="50" t="s">
        <v>68</v>
      </c>
      <c r="D63" s="50" t="s">
        <v>94</v>
      </c>
      <c r="E63" s="50" t="s">
        <v>53</v>
      </c>
      <c r="F63" s="50">
        <v>3500</v>
      </c>
      <c r="G63" s="50">
        <v>2011</v>
      </c>
      <c r="H63" s="50">
        <v>261576</v>
      </c>
      <c r="I63" s="50">
        <v>21433.1</v>
      </c>
      <c r="J63" s="51">
        <v>3857958</v>
      </c>
      <c r="K63" s="51">
        <v>71639</v>
      </c>
      <c r="L63" s="51">
        <f t="shared" si="2"/>
        <v>3929597</v>
      </c>
      <c r="M63" s="50" t="s">
        <v>65</v>
      </c>
      <c r="N63" s="52">
        <v>14</v>
      </c>
      <c r="O63" s="75">
        <f t="shared" si="3"/>
        <v>15.022773496039392</v>
      </c>
    </row>
    <row r="64" spans="1:15" ht="15" customHeight="1" x14ac:dyDescent="0.25">
      <c r="A64" s="74" t="s">
        <v>152</v>
      </c>
      <c r="B64" s="50" t="s">
        <v>50</v>
      </c>
      <c r="C64" s="50" t="s">
        <v>72</v>
      </c>
      <c r="D64" s="50" t="s">
        <v>58</v>
      </c>
      <c r="E64" s="50" t="s">
        <v>53</v>
      </c>
      <c r="F64" s="50">
        <v>2500</v>
      </c>
      <c r="G64" s="50">
        <v>2013</v>
      </c>
      <c r="H64" s="50">
        <v>119522</v>
      </c>
      <c r="I64" s="50">
        <v>19592.400000000001</v>
      </c>
      <c r="J64" s="51">
        <v>3526632</v>
      </c>
      <c r="K64" s="51">
        <v>80240</v>
      </c>
      <c r="L64" s="51">
        <f t="shared" si="2"/>
        <v>3606872</v>
      </c>
      <c r="M64" s="50" t="s">
        <v>54</v>
      </c>
      <c r="N64" s="52">
        <v>70.099999999999994</v>
      </c>
      <c r="O64" s="75">
        <f t="shared" si="3"/>
        <v>30.177473603186023</v>
      </c>
    </row>
    <row r="65" spans="1:15" ht="15" customHeight="1" x14ac:dyDescent="0.25">
      <c r="A65" s="74" t="s">
        <v>153</v>
      </c>
      <c r="B65" s="50" t="s">
        <v>50</v>
      </c>
      <c r="C65" s="50" t="s">
        <v>93</v>
      </c>
      <c r="D65" s="50" t="s">
        <v>63</v>
      </c>
      <c r="E65" s="50" t="s">
        <v>53</v>
      </c>
      <c r="F65" s="50">
        <v>4000</v>
      </c>
      <c r="G65" s="50">
        <v>2021</v>
      </c>
      <c r="H65" s="50">
        <v>149345</v>
      </c>
      <c r="I65" s="50">
        <v>23400.799999999999</v>
      </c>
      <c r="J65" s="51">
        <v>4212144</v>
      </c>
      <c r="K65" s="51">
        <v>32618</v>
      </c>
      <c r="L65" s="51">
        <f t="shared" si="2"/>
        <v>4244762</v>
      </c>
      <c r="M65" s="50" t="s">
        <v>54</v>
      </c>
      <c r="N65" s="52">
        <v>84.6</v>
      </c>
      <c r="O65" s="75">
        <f t="shared" si="3"/>
        <v>28.422525025946634</v>
      </c>
    </row>
    <row r="66" spans="1:15" ht="15" customHeight="1" x14ac:dyDescent="0.25">
      <c r="A66" s="74" t="s">
        <v>154</v>
      </c>
      <c r="B66" s="50" t="s">
        <v>50</v>
      </c>
      <c r="C66" s="50" t="s">
        <v>72</v>
      </c>
      <c r="D66" s="50" t="s">
        <v>63</v>
      </c>
      <c r="E66" s="50" t="s">
        <v>53</v>
      </c>
      <c r="F66" s="50">
        <v>3500</v>
      </c>
      <c r="G66" s="50">
        <v>2011</v>
      </c>
      <c r="H66" s="50">
        <v>28462</v>
      </c>
      <c r="I66" s="50">
        <v>4920.8</v>
      </c>
      <c r="J66" s="51">
        <v>885744</v>
      </c>
      <c r="K66" s="51">
        <v>75459</v>
      </c>
      <c r="L66" s="51">
        <f t="shared" ref="L66:L97" si="4">J66+K66</f>
        <v>961203</v>
      </c>
      <c r="M66" s="50" t="s">
        <v>54</v>
      </c>
      <c r="N66" s="52">
        <v>64.900000000000006</v>
      </c>
      <c r="O66" s="75">
        <f t="shared" ref="O66:O97" si="5">IF(H66&gt;0,L66/H66,0)</f>
        <v>33.771449652167803</v>
      </c>
    </row>
    <row r="67" spans="1:15" ht="15" customHeight="1" x14ac:dyDescent="0.25">
      <c r="A67" s="74" t="s">
        <v>155</v>
      </c>
      <c r="B67" s="50" t="s">
        <v>79</v>
      </c>
      <c r="C67" s="50" t="s">
        <v>96</v>
      </c>
      <c r="D67" s="50" t="s">
        <v>89</v>
      </c>
      <c r="E67" s="50" t="s">
        <v>53</v>
      </c>
      <c r="F67" s="50">
        <v>5000</v>
      </c>
      <c r="G67" s="50">
        <v>2020</v>
      </c>
      <c r="H67" s="50">
        <v>142323</v>
      </c>
      <c r="I67" s="50">
        <v>12836.1</v>
      </c>
      <c r="J67" s="51">
        <v>2310498</v>
      </c>
      <c r="K67" s="51">
        <v>96110</v>
      </c>
      <c r="L67" s="51">
        <f t="shared" si="4"/>
        <v>2406608</v>
      </c>
      <c r="M67" s="50" t="s">
        <v>54</v>
      </c>
      <c r="N67" s="52">
        <v>76.8</v>
      </c>
      <c r="O67" s="75">
        <f t="shared" si="5"/>
        <v>16.909480547768105</v>
      </c>
    </row>
    <row r="68" spans="1:15" ht="15" customHeight="1" x14ac:dyDescent="0.25">
      <c r="A68" s="74" t="s">
        <v>156</v>
      </c>
      <c r="B68" s="50" t="s">
        <v>50</v>
      </c>
      <c r="C68" s="50" t="s">
        <v>72</v>
      </c>
      <c r="D68" s="50" t="s">
        <v>89</v>
      </c>
      <c r="E68" s="50" t="s">
        <v>53</v>
      </c>
      <c r="F68" s="50">
        <v>2500</v>
      </c>
      <c r="G68" s="50">
        <v>2015</v>
      </c>
      <c r="H68" s="50">
        <v>239593</v>
      </c>
      <c r="I68" s="50">
        <v>35017</v>
      </c>
      <c r="J68" s="51">
        <v>6303060</v>
      </c>
      <c r="K68" s="51">
        <v>22240</v>
      </c>
      <c r="L68" s="51">
        <f t="shared" si="4"/>
        <v>6325300</v>
      </c>
      <c r="M68" s="50" t="s">
        <v>54</v>
      </c>
      <c r="N68" s="52">
        <v>45.7</v>
      </c>
      <c r="O68" s="75">
        <f t="shared" si="5"/>
        <v>26.400186983759959</v>
      </c>
    </row>
    <row r="69" spans="1:15" ht="15" customHeight="1" x14ac:dyDescent="0.25">
      <c r="A69" s="74" t="s">
        <v>157</v>
      </c>
      <c r="B69" s="50" t="s">
        <v>57</v>
      </c>
      <c r="C69" s="50" t="s">
        <v>80</v>
      </c>
      <c r="D69" s="50" t="s">
        <v>94</v>
      </c>
      <c r="E69" s="50" t="s">
        <v>53</v>
      </c>
      <c r="F69" s="50">
        <v>2500</v>
      </c>
      <c r="G69" s="50">
        <v>2016</v>
      </c>
      <c r="H69" s="50">
        <v>204890</v>
      </c>
      <c r="I69" s="50">
        <v>29413.7</v>
      </c>
      <c r="J69" s="51">
        <v>5294466</v>
      </c>
      <c r="K69" s="51">
        <v>102014</v>
      </c>
      <c r="L69" s="51">
        <f t="shared" si="4"/>
        <v>5396480</v>
      </c>
      <c r="M69" s="50" t="s">
        <v>54</v>
      </c>
      <c r="N69" s="52">
        <v>68.099999999999994</v>
      </c>
      <c r="O69" s="75">
        <f t="shared" si="5"/>
        <v>26.338425496607936</v>
      </c>
    </row>
    <row r="70" spans="1:15" ht="15" customHeight="1" x14ac:dyDescent="0.25">
      <c r="A70" s="74" t="s">
        <v>158</v>
      </c>
      <c r="B70" s="50" t="s">
        <v>61</v>
      </c>
      <c r="C70" s="50" t="s">
        <v>119</v>
      </c>
      <c r="D70" s="50" t="s">
        <v>52</v>
      </c>
      <c r="E70" s="50" t="s">
        <v>64</v>
      </c>
      <c r="F70" s="50">
        <v>4500</v>
      </c>
      <c r="G70" s="50">
        <v>2022</v>
      </c>
      <c r="H70" s="50">
        <v>268491</v>
      </c>
      <c r="I70" s="50">
        <v>33960.699999999997</v>
      </c>
      <c r="J70" s="51">
        <v>6622336</v>
      </c>
      <c r="K70" s="51">
        <v>101702</v>
      </c>
      <c r="L70" s="51">
        <f t="shared" si="4"/>
        <v>6724038</v>
      </c>
      <c r="M70" s="50" t="s">
        <v>54</v>
      </c>
      <c r="N70" s="52">
        <v>62.1</v>
      </c>
      <c r="O70" s="75">
        <f t="shared" si="5"/>
        <v>25.043811524408639</v>
      </c>
    </row>
    <row r="71" spans="1:15" ht="15" customHeight="1" x14ac:dyDescent="0.25">
      <c r="A71" s="74" t="s">
        <v>159</v>
      </c>
      <c r="B71" s="50" t="s">
        <v>79</v>
      </c>
      <c r="C71" s="50" t="s">
        <v>80</v>
      </c>
      <c r="D71" s="50" t="s">
        <v>58</v>
      </c>
      <c r="E71" s="50" t="s">
        <v>53</v>
      </c>
      <c r="F71" s="50">
        <v>3500</v>
      </c>
      <c r="G71" s="50">
        <v>2017</v>
      </c>
      <c r="H71" s="50">
        <v>142854</v>
      </c>
      <c r="I71" s="50">
        <v>22149.200000000001</v>
      </c>
      <c r="J71" s="51">
        <v>3986856</v>
      </c>
      <c r="K71" s="51">
        <v>74834</v>
      </c>
      <c r="L71" s="51">
        <f t="shared" si="4"/>
        <v>4061690</v>
      </c>
      <c r="M71" s="50" t="s">
        <v>54</v>
      </c>
      <c r="N71" s="52">
        <v>62.8</v>
      </c>
      <c r="O71" s="75">
        <f t="shared" si="5"/>
        <v>28.43245551402131</v>
      </c>
    </row>
    <row r="72" spans="1:15" ht="15" customHeight="1" x14ac:dyDescent="0.25">
      <c r="A72" s="74" t="s">
        <v>160</v>
      </c>
      <c r="B72" s="50" t="s">
        <v>113</v>
      </c>
      <c r="C72" s="50" t="s">
        <v>80</v>
      </c>
      <c r="D72" s="50" t="s">
        <v>52</v>
      </c>
      <c r="E72" s="50" t="s">
        <v>53</v>
      </c>
      <c r="F72" s="50">
        <v>3000</v>
      </c>
      <c r="G72" s="50">
        <v>2017</v>
      </c>
      <c r="H72" s="50">
        <v>126211</v>
      </c>
      <c r="I72" s="50">
        <v>14575.2</v>
      </c>
      <c r="J72" s="51">
        <v>2623536</v>
      </c>
      <c r="K72" s="51">
        <v>42127</v>
      </c>
      <c r="L72" s="51">
        <f t="shared" si="4"/>
        <v>2665663</v>
      </c>
      <c r="M72" s="50" t="s">
        <v>54</v>
      </c>
      <c r="N72" s="52">
        <v>76.599999999999994</v>
      </c>
      <c r="O72" s="75">
        <f t="shared" si="5"/>
        <v>21.120686786413227</v>
      </c>
    </row>
    <row r="73" spans="1:15" ht="15" customHeight="1" x14ac:dyDescent="0.25">
      <c r="A73" s="74" t="s">
        <v>161</v>
      </c>
      <c r="B73" s="50" t="s">
        <v>71</v>
      </c>
      <c r="C73" s="50" t="s">
        <v>99</v>
      </c>
      <c r="D73" s="50" t="s">
        <v>58</v>
      </c>
      <c r="E73" s="50" t="s">
        <v>53</v>
      </c>
      <c r="F73" s="50">
        <v>4500</v>
      </c>
      <c r="G73" s="50">
        <v>2013</v>
      </c>
      <c r="H73" s="50">
        <v>59885</v>
      </c>
      <c r="I73" s="50">
        <v>6236.2</v>
      </c>
      <c r="J73" s="51">
        <v>1122516</v>
      </c>
      <c r="K73" s="51">
        <v>57675</v>
      </c>
      <c r="L73" s="51">
        <f t="shared" si="4"/>
        <v>1180191</v>
      </c>
      <c r="M73" s="50" t="s">
        <v>54</v>
      </c>
      <c r="N73" s="52">
        <v>57.7</v>
      </c>
      <c r="O73" s="75">
        <f t="shared" si="5"/>
        <v>19.707622943975952</v>
      </c>
    </row>
    <row r="74" spans="1:15" ht="15" customHeight="1" x14ac:dyDescent="0.25">
      <c r="A74" s="74" t="s">
        <v>162</v>
      </c>
      <c r="B74" s="50" t="s">
        <v>113</v>
      </c>
      <c r="C74" s="50" t="s">
        <v>119</v>
      </c>
      <c r="D74" s="50" t="s">
        <v>94</v>
      </c>
      <c r="E74" s="50" t="s">
        <v>53</v>
      </c>
      <c r="F74" s="50">
        <v>4000</v>
      </c>
      <c r="G74" s="50">
        <v>2022</v>
      </c>
      <c r="H74" s="50">
        <v>24040</v>
      </c>
      <c r="I74" s="50">
        <v>2146.9</v>
      </c>
      <c r="J74" s="51">
        <v>386442</v>
      </c>
      <c r="K74" s="51">
        <v>38268</v>
      </c>
      <c r="L74" s="51">
        <f t="shared" si="4"/>
        <v>424710</v>
      </c>
      <c r="M74" s="50" t="s">
        <v>54</v>
      </c>
      <c r="N74" s="52">
        <v>61.2</v>
      </c>
      <c r="O74" s="75">
        <f t="shared" si="5"/>
        <v>17.666805324459233</v>
      </c>
    </row>
    <row r="75" spans="1:15" ht="15" customHeight="1" x14ac:dyDescent="0.25">
      <c r="A75" s="74" t="s">
        <v>163</v>
      </c>
      <c r="B75" s="50" t="s">
        <v>75</v>
      </c>
      <c r="C75" s="50" t="s">
        <v>131</v>
      </c>
      <c r="D75" s="50" t="s">
        <v>94</v>
      </c>
      <c r="E75" s="50" t="s">
        <v>53</v>
      </c>
      <c r="F75" s="50">
        <v>4500</v>
      </c>
      <c r="G75" s="50">
        <v>2018</v>
      </c>
      <c r="H75" s="50">
        <v>195227</v>
      </c>
      <c r="I75" s="50">
        <v>23925.1</v>
      </c>
      <c r="J75" s="51">
        <v>4306518</v>
      </c>
      <c r="K75" s="51">
        <v>93323</v>
      </c>
      <c r="L75" s="51">
        <f t="shared" si="4"/>
        <v>4399841</v>
      </c>
      <c r="M75" s="50" t="s">
        <v>54</v>
      </c>
      <c r="N75" s="52">
        <v>82.3</v>
      </c>
      <c r="O75" s="75">
        <f t="shared" si="5"/>
        <v>22.537051739769602</v>
      </c>
    </row>
    <row r="76" spans="1:15" ht="15" customHeight="1" x14ac:dyDescent="0.25">
      <c r="A76" s="74" t="s">
        <v>164</v>
      </c>
      <c r="B76" s="50" t="s">
        <v>71</v>
      </c>
      <c r="C76" s="50" t="s">
        <v>68</v>
      </c>
      <c r="D76" s="50" t="s">
        <v>52</v>
      </c>
      <c r="E76" s="50" t="s">
        <v>53</v>
      </c>
      <c r="F76" s="50">
        <v>3000</v>
      </c>
      <c r="G76" s="50">
        <v>2011</v>
      </c>
      <c r="H76" s="50">
        <v>115969</v>
      </c>
      <c r="I76" s="50">
        <v>12936.9</v>
      </c>
      <c r="J76" s="51">
        <v>2328642</v>
      </c>
      <c r="K76" s="51">
        <v>93003</v>
      </c>
      <c r="L76" s="51">
        <f t="shared" si="4"/>
        <v>2421645</v>
      </c>
      <c r="M76" s="50" t="s">
        <v>69</v>
      </c>
      <c r="N76" s="52">
        <v>27.6</v>
      </c>
      <c r="O76" s="75">
        <f t="shared" si="5"/>
        <v>20.881830489182455</v>
      </c>
    </row>
    <row r="77" spans="1:15" ht="15" customHeight="1" x14ac:dyDescent="0.25">
      <c r="A77" s="74" t="s">
        <v>165</v>
      </c>
      <c r="B77" s="50" t="s">
        <v>79</v>
      </c>
      <c r="C77" s="50" t="s">
        <v>86</v>
      </c>
      <c r="D77" s="50" t="s">
        <v>94</v>
      </c>
      <c r="E77" s="50" t="s">
        <v>53</v>
      </c>
      <c r="F77" s="50">
        <v>3500</v>
      </c>
      <c r="G77" s="50">
        <v>2021</v>
      </c>
      <c r="H77" s="50">
        <v>163372</v>
      </c>
      <c r="I77" s="50">
        <v>29088.6</v>
      </c>
      <c r="J77" s="51">
        <v>5235948</v>
      </c>
      <c r="K77" s="51">
        <v>102426</v>
      </c>
      <c r="L77" s="51">
        <f t="shared" si="4"/>
        <v>5338374</v>
      </c>
      <c r="M77" s="50" t="s">
        <v>54</v>
      </c>
      <c r="N77" s="52">
        <v>64.099999999999994</v>
      </c>
      <c r="O77" s="75">
        <f t="shared" si="5"/>
        <v>32.67618686188576</v>
      </c>
    </row>
    <row r="78" spans="1:15" ht="15" customHeight="1" x14ac:dyDescent="0.25">
      <c r="A78" s="74" t="s">
        <v>166</v>
      </c>
      <c r="B78" s="50" t="s">
        <v>71</v>
      </c>
      <c r="C78" s="50" t="s">
        <v>51</v>
      </c>
      <c r="D78" s="50" t="s">
        <v>89</v>
      </c>
      <c r="E78" s="50" t="s">
        <v>53</v>
      </c>
      <c r="F78" s="50">
        <v>3000</v>
      </c>
      <c r="G78" s="50">
        <v>2014</v>
      </c>
      <c r="H78" s="50">
        <v>38863</v>
      </c>
      <c r="I78" s="50">
        <v>6895.4</v>
      </c>
      <c r="J78" s="51">
        <v>1241172</v>
      </c>
      <c r="K78" s="51">
        <v>73103</v>
      </c>
      <c r="L78" s="51">
        <f t="shared" si="4"/>
        <v>1314275</v>
      </c>
      <c r="M78" s="50" t="s">
        <v>54</v>
      </c>
      <c r="N78" s="52">
        <v>51.7</v>
      </c>
      <c r="O78" s="75">
        <f t="shared" si="5"/>
        <v>33.818156086766336</v>
      </c>
    </row>
    <row r="79" spans="1:15" ht="15" customHeight="1" x14ac:dyDescent="0.25">
      <c r="A79" s="74" t="s">
        <v>167</v>
      </c>
      <c r="B79" s="50" t="s">
        <v>113</v>
      </c>
      <c r="C79" s="50" t="s">
        <v>96</v>
      </c>
      <c r="D79" s="50" t="s">
        <v>58</v>
      </c>
      <c r="E79" s="50" t="s">
        <v>53</v>
      </c>
      <c r="F79" s="50">
        <v>4500</v>
      </c>
      <c r="G79" s="50">
        <v>2014</v>
      </c>
      <c r="H79" s="50">
        <v>261099</v>
      </c>
      <c r="I79" s="50">
        <v>33387.1</v>
      </c>
      <c r="J79" s="51">
        <v>6009678</v>
      </c>
      <c r="K79" s="51">
        <v>50774</v>
      </c>
      <c r="L79" s="51">
        <f t="shared" si="4"/>
        <v>6060452</v>
      </c>
      <c r="M79" s="50" t="s">
        <v>65</v>
      </c>
      <c r="N79" s="52">
        <v>10.1</v>
      </c>
      <c r="O79" s="75">
        <f t="shared" si="5"/>
        <v>23.211318312211077</v>
      </c>
    </row>
    <row r="80" spans="1:15" ht="15" customHeight="1" x14ac:dyDescent="0.25">
      <c r="A80" s="74" t="s">
        <v>168</v>
      </c>
      <c r="B80" s="50" t="s">
        <v>113</v>
      </c>
      <c r="C80" s="50" t="s">
        <v>96</v>
      </c>
      <c r="D80" s="50" t="s">
        <v>58</v>
      </c>
      <c r="E80" s="50" t="s">
        <v>53</v>
      </c>
      <c r="F80" s="50">
        <v>4000</v>
      </c>
      <c r="G80" s="50">
        <v>2017</v>
      </c>
      <c r="H80" s="50">
        <v>53840</v>
      </c>
      <c r="I80" s="50">
        <v>7413.9</v>
      </c>
      <c r="J80" s="51">
        <v>1334502</v>
      </c>
      <c r="K80" s="51">
        <v>87077</v>
      </c>
      <c r="L80" s="51">
        <f t="shared" si="4"/>
        <v>1421579</v>
      </c>
      <c r="M80" s="50" t="s">
        <v>54</v>
      </c>
      <c r="N80" s="52">
        <v>88</v>
      </c>
      <c r="O80" s="75">
        <f t="shared" si="5"/>
        <v>26.403770430906388</v>
      </c>
    </row>
    <row r="81" spans="1:15" ht="15" customHeight="1" x14ac:dyDescent="0.25">
      <c r="A81" s="74" t="s">
        <v>169</v>
      </c>
      <c r="B81" s="50" t="s">
        <v>71</v>
      </c>
      <c r="C81" s="50" t="s">
        <v>96</v>
      </c>
      <c r="D81" s="50" t="s">
        <v>63</v>
      </c>
      <c r="E81" s="50" t="s">
        <v>53</v>
      </c>
      <c r="F81" s="50">
        <v>2500</v>
      </c>
      <c r="G81" s="50">
        <v>2018</v>
      </c>
      <c r="H81" s="50">
        <v>233195</v>
      </c>
      <c r="I81" s="50">
        <v>32794.6</v>
      </c>
      <c r="J81" s="51">
        <v>5903028</v>
      </c>
      <c r="K81" s="51">
        <v>98028</v>
      </c>
      <c r="L81" s="51">
        <f t="shared" si="4"/>
        <v>6001056</v>
      </c>
      <c r="M81" s="50" t="s">
        <v>54</v>
      </c>
      <c r="N81" s="52">
        <v>72.7</v>
      </c>
      <c r="O81" s="75">
        <f t="shared" si="5"/>
        <v>25.734068054632388</v>
      </c>
    </row>
    <row r="82" spans="1:15" ht="15" customHeight="1" x14ac:dyDescent="0.25">
      <c r="A82" s="74" t="s">
        <v>170</v>
      </c>
      <c r="B82" s="50" t="s">
        <v>113</v>
      </c>
      <c r="C82" s="50" t="s">
        <v>76</v>
      </c>
      <c r="D82" s="50" t="s">
        <v>94</v>
      </c>
      <c r="E82" s="50" t="s">
        <v>53</v>
      </c>
      <c r="F82" s="50">
        <v>3500</v>
      </c>
      <c r="G82" s="50">
        <v>2019</v>
      </c>
      <c r="H82" s="50">
        <v>239830</v>
      </c>
      <c r="I82" s="50">
        <v>26510.3</v>
      </c>
      <c r="J82" s="51">
        <v>4771854</v>
      </c>
      <c r="K82" s="51">
        <v>80208</v>
      </c>
      <c r="L82" s="51">
        <f t="shared" si="4"/>
        <v>4852062</v>
      </c>
      <c r="M82" s="50" t="s">
        <v>54</v>
      </c>
      <c r="N82" s="52">
        <v>84.2</v>
      </c>
      <c r="O82" s="75">
        <f t="shared" si="5"/>
        <v>20.231255472626444</v>
      </c>
    </row>
    <row r="83" spans="1:15" ht="15" customHeight="1" x14ac:dyDescent="0.25">
      <c r="A83" s="74" t="s">
        <v>171</v>
      </c>
      <c r="B83" s="50" t="s">
        <v>79</v>
      </c>
      <c r="C83" s="50" t="s">
        <v>119</v>
      </c>
      <c r="D83" s="50" t="s">
        <v>63</v>
      </c>
      <c r="E83" s="50" t="s">
        <v>53</v>
      </c>
      <c r="F83" s="50">
        <v>3500</v>
      </c>
      <c r="G83" s="50">
        <v>2020</v>
      </c>
      <c r="H83" s="50">
        <v>57565</v>
      </c>
      <c r="I83" s="50">
        <v>5509.3</v>
      </c>
      <c r="J83" s="51">
        <v>991674</v>
      </c>
      <c r="K83" s="51">
        <v>33250</v>
      </c>
      <c r="L83" s="51">
        <f t="shared" si="4"/>
        <v>1024924</v>
      </c>
      <c r="M83" s="50" t="s">
        <v>54</v>
      </c>
      <c r="N83" s="52">
        <v>45.1</v>
      </c>
      <c r="O83" s="75">
        <f t="shared" si="5"/>
        <v>17.804638235038652</v>
      </c>
    </row>
    <row r="84" spans="1:15" ht="15" customHeight="1" x14ac:dyDescent="0.25">
      <c r="A84" s="74" t="s">
        <v>172</v>
      </c>
      <c r="B84" s="50" t="s">
        <v>113</v>
      </c>
      <c r="C84" s="50" t="s">
        <v>83</v>
      </c>
      <c r="D84" s="50" t="s">
        <v>89</v>
      </c>
      <c r="E84" s="50" t="s">
        <v>53</v>
      </c>
      <c r="F84" s="50">
        <v>4000</v>
      </c>
      <c r="G84" s="50">
        <v>2014</v>
      </c>
      <c r="H84" s="50">
        <v>32112</v>
      </c>
      <c r="I84" s="50">
        <v>3312.3</v>
      </c>
      <c r="J84" s="51">
        <v>596214</v>
      </c>
      <c r="K84" s="51">
        <v>89230</v>
      </c>
      <c r="L84" s="51">
        <f t="shared" si="4"/>
        <v>685444</v>
      </c>
      <c r="M84" s="50" t="s">
        <v>54</v>
      </c>
      <c r="N84" s="52">
        <v>69.099999999999994</v>
      </c>
      <c r="O84" s="75">
        <f t="shared" si="5"/>
        <v>21.345416043846537</v>
      </c>
    </row>
    <row r="85" spans="1:15" ht="15" customHeight="1" x14ac:dyDescent="0.25">
      <c r="A85" s="74" t="s">
        <v>173</v>
      </c>
      <c r="B85" s="50" t="s">
        <v>79</v>
      </c>
      <c r="C85" s="50" t="s">
        <v>76</v>
      </c>
      <c r="D85" s="50" t="s">
        <v>52</v>
      </c>
      <c r="E85" s="50" t="s">
        <v>53</v>
      </c>
      <c r="F85" s="50">
        <v>5000</v>
      </c>
      <c r="G85" s="50">
        <v>2019</v>
      </c>
      <c r="H85" s="50">
        <v>118714</v>
      </c>
      <c r="I85" s="50">
        <v>14544.1</v>
      </c>
      <c r="J85" s="51">
        <v>2617938</v>
      </c>
      <c r="K85" s="51">
        <v>72179</v>
      </c>
      <c r="L85" s="51">
        <f t="shared" si="4"/>
        <v>2690117</v>
      </c>
      <c r="M85" s="50" t="s">
        <v>54</v>
      </c>
      <c r="N85" s="52">
        <v>93.1</v>
      </c>
      <c r="O85" s="75">
        <f t="shared" si="5"/>
        <v>22.660486547500717</v>
      </c>
    </row>
    <row r="86" spans="1:15" ht="15" customHeight="1" x14ac:dyDescent="0.25">
      <c r="A86" s="74" t="s">
        <v>174</v>
      </c>
      <c r="B86" s="50" t="s">
        <v>98</v>
      </c>
      <c r="C86" s="50" t="s">
        <v>96</v>
      </c>
      <c r="D86" s="50" t="s">
        <v>58</v>
      </c>
      <c r="E86" s="50" t="s">
        <v>64</v>
      </c>
      <c r="F86" s="50">
        <v>3000</v>
      </c>
      <c r="G86" s="50">
        <v>2022</v>
      </c>
      <c r="H86" s="50">
        <v>176277</v>
      </c>
      <c r="I86" s="50">
        <v>24591.4</v>
      </c>
      <c r="J86" s="51">
        <v>4795323</v>
      </c>
      <c r="K86" s="51">
        <v>101545</v>
      </c>
      <c r="L86" s="51">
        <f t="shared" si="4"/>
        <v>4896868</v>
      </c>
      <c r="M86" s="50" t="s">
        <v>69</v>
      </c>
      <c r="N86" s="52">
        <v>17.600000000000001</v>
      </c>
      <c r="O86" s="75">
        <f t="shared" si="5"/>
        <v>27.779392660415141</v>
      </c>
    </row>
    <row r="87" spans="1:15" ht="15" customHeight="1" x14ac:dyDescent="0.25">
      <c r="A87" s="74" t="s">
        <v>175</v>
      </c>
      <c r="B87" s="50" t="s">
        <v>113</v>
      </c>
      <c r="C87" s="50" t="s">
        <v>83</v>
      </c>
      <c r="D87" s="50" t="s">
        <v>52</v>
      </c>
      <c r="E87" s="50" t="s">
        <v>53</v>
      </c>
      <c r="F87" s="50">
        <v>5000</v>
      </c>
      <c r="G87" s="50">
        <v>2016</v>
      </c>
      <c r="H87" s="50">
        <v>157735</v>
      </c>
      <c r="I87" s="50">
        <v>20513</v>
      </c>
      <c r="J87" s="51">
        <v>3692340</v>
      </c>
      <c r="K87" s="51">
        <v>66848</v>
      </c>
      <c r="L87" s="51">
        <f t="shared" si="4"/>
        <v>3759188</v>
      </c>
      <c r="M87" s="50" t="s">
        <v>54</v>
      </c>
      <c r="N87" s="52">
        <v>47.1</v>
      </c>
      <c r="O87" s="75">
        <f t="shared" si="5"/>
        <v>23.832301011189653</v>
      </c>
    </row>
    <row r="88" spans="1:15" ht="15" customHeight="1" x14ac:dyDescent="0.25">
      <c r="A88" s="74" t="s">
        <v>176</v>
      </c>
      <c r="B88" s="50" t="s">
        <v>57</v>
      </c>
      <c r="C88" s="50" t="s">
        <v>83</v>
      </c>
      <c r="D88" s="50" t="s">
        <v>52</v>
      </c>
      <c r="E88" s="50" t="s">
        <v>53</v>
      </c>
      <c r="F88" s="50">
        <v>4500</v>
      </c>
      <c r="G88" s="50">
        <v>2014</v>
      </c>
      <c r="H88" s="50">
        <v>28560</v>
      </c>
      <c r="I88" s="50">
        <v>2545.6</v>
      </c>
      <c r="J88" s="51">
        <v>458208</v>
      </c>
      <c r="K88" s="51">
        <v>116001</v>
      </c>
      <c r="L88" s="51">
        <f t="shared" si="4"/>
        <v>574209</v>
      </c>
      <c r="M88" s="50" t="s">
        <v>54</v>
      </c>
      <c r="N88" s="52">
        <v>75.5</v>
      </c>
      <c r="O88" s="75">
        <f t="shared" si="5"/>
        <v>20.105357142857144</v>
      </c>
    </row>
    <row r="89" spans="1:15" ht="15" customHeight="1" x14ac:dyDescent="0.25">
      <c r="A89" s="74" t="s">
        <v>177</v>
      </c>
      <c r="B89" s="50" t="s">
        <v>107</v>
      </c>
      <c r="C89" s="50" t="s">
        <v>72</v>
      </c>
      <c r="D89" s="50" t="s">
        <v>52</v>
      </c>
      <c r="E89" s="50" t="s">
        <v>53</v>
      </c>
      <c r="F89" s="50">
        <v>4500</v>
      </c>
      <c r="G89" s="50">
        <v>2010</v>
      </c>
      <c r="H89" s="50">
        <v>106850</v>
      </c>
      <c r="I89" s="50">
        <v>13575.3</v>
      </c>
      <c r="J89" s="51">
        <v>2443554</v>
      </c>
      <c r="K89" s="51">
        <v>83408</v>
      </c>
      <c r="L89" s="51">
        <f t="shared" si="4"/>
        <v>2526962</v>
      </c>
      <c r="M89" s="50" t="s">
        <v>69</v>
      </c>
      <c r="N89" s="52">
        <v>7.3</v>
      </c>
      <c r="O89" s="75">
        <f t="shared" si="5"/>
        <v>23.649620963968179</v>
      </c>
    </row>
    <row r="90" spans="1:15" ht="15" customHeight="1" x14ac:dyDescent="0.25">
      <c r="A90" s="74" t="s">
        <v>178</v>
      </c>
      <c r="B90" s="50" t="s">
        <v>75</v>
      </c>
      <c r="C90" s="50" t="s">
        <v>62</v>
      </c>
      <c r="D90" s="50" t="s">
        <v>94</v>
      </c>
      <c r="E90" s="50" t="s">
        <v>53</v>
      </c>
      <c r="F90" s="50">
        <v>2500</v>
      </c>
      <c r="G90" s="50">
        <v>2017</v>
      </c>
      <c r="H90" s="50">
        <v>197431</v>
      </c>
      <c r="I90" s="50">
        <v>23856.5</v>
      </c>
      <c r="J90" s="51">
        <v>4294170</v>
      </c>
      <c r="K90" s="51">
        <v>48711</v>
      </c>
      <c r="L90" s="51">
        <f t="shared" si="4"/>
        <v>4342881</v>
      </c>
      <c r="M90" s="50" t="s">
        <v>54</v>
      </c>
      <c r="N90" s="52">
        <v>53.5</v>
      </c>
      <c r="O90" s="75">
        <f t="shared" si="5"/>
        <v>21.996955898516443</v>
      </c>
    </row>
    <row r="91" spans="1:15" ht="15" customHeight="1" x14ac:dyDescent="0.25">
      <c r="A91" s="74" t="s">
        <v>179</v>
      </c>
      <c r="B91" s="50" t="s">
        <v>57</v>
      </c>
      <c r="C91" s="50" t="s">
        <v>83</v>
      </c>
      <c r="D91" s="50" t="s">
        <v>94</v>
      </c>
      <c r="E91" s="50" t="s">
        <v>53</v>
      </c>
      <c r="F91" s="50">
        <v>3500</v>
      </c>
      <c r="G91" s="50">
        <v>2020</v>
      </c>
      <c r="H91" s="50">
        <v>224952</v>
      </c>
      <c r="I91" s="50">
        <v>36297.5</v>
      </c>
      <c r="J91" s="51">
        <v>6533550</v>
      </c>
      <c r="K91" s="51">
        <v>72760</v>
      </c>
      <c r="L91" s="51">
        <f t="shared" si="4"/>
        <v>6606310</v>
      </c>
      <c r="M91" s="50" t="s">
        <v>54</v>
      </c>
      <c r="N91" s="52">
        <v>61.7</v>
      </c>
      <c r="O91" s="75">
        <f t="shared" si="5"/>
        <v>29.367642874924428</v>
      </c>
    </row>
    <row r="92" spans="1:15" ht="15" customHeight="1" x14ac:dyDescent="0.25">
      <c r="A92" s="74" t="s">
        <v>180</v>
      </c>
      <c r="B92" s="50" t="s">
        <v>67</v>
      </c>
      <c r="C92" s="50" t="s">
        <v>96</v>
      </c>
      <c r="D92" s="50" t="s">
        <v>94</v>
      </c>
      <c r="E92" s="50" t="s">
        <v>53</v>
      </c>
      <c r="F92" s="50">
        <v>4500</v>
      </c>
      <c r="G92" s="50">
        <v>2010</v>
      </c>
      <c r="H92" s="50">
        <v>257208</v>
      </c>
      <c r="I92" s="50">
        <v>31205.7</v>
      </c>
      <c r="J92" s="51">
        <v>5617026</v>
      </c>
      <c r="K92" s="51">
        <v>34696</v>
      </c>
      <c r="L92" s="51">
        <f t="shared" si="4"/>
        <v>5651722</v>
      </c>
      <c r="M92" s="50" t="s">
        <v>54</v>
      </c>
      <c r="N92" s="52">
        <v>85.1</v>
      </c>
      <c r="O92" s="75">
        <f t="shared" si="5"/>
        <v>21.973352306304626</v>
      </c>
    </row>
    <row r="93" spans="1:15" ht="15" customHeight="1" x14ac:dyDescent="0.25">
      <c r="A93" s="74" t="s">
        <v>181</v>
      </c>
      <c r="B93" s="50" t="s">
        <v>113</v>
      </c>
      <c r="C93" s="50" t="s">
        <v>72</v>
      </c>
      <c r="D93" s="50" t="s">
        <v>58</v>
      </c>
      <c r="E93" s="50" t="s">
        <v>53</v>
      </c>
      <c r="F93" s="50">
        <v>3000</v>
      </c>
      <c r="G93" s="50">
        <v>2014</v>
      </c>
      <c r="H93" s="50">
        <v>83688</v>
      </c>
      <c r="I93" s="50">
        <v>14458.5</v>
      </c>
      <c r="J93" s="51">
        <v>2602530</v>
      </c>
      <c r="K93" s="51">
        <v>61002</v>
      </c>
      <c r="L93" s="51">
        <f t="shared" si="4"/>
        <v>2663532</v>
      </c>
      <c r="M93" s="50" t="s">
        <v>54</v>
      </c>
      <c r="N93" s="52">
        <v>51.4</v>
      </c>
      <c r="O93" s="75">
        <f t="shared" si="5"/>
        <v>31.826928591912818</v>
      </c>
    </row>
    <row r="94" spans="1:15" ht="15" customHeight="1" x14ac:dyDescent="0.25">
      <c r="A94" s="74" t="s">
        <v>182</v>
      </c>
      <c r="B94" s="50" t="s">
        <v>75</v>
      </c>
      <c r="C94" s="50" t="s">
        <v>72</v>
      </c>
      <c r="D94" s="50" t="s">
        <v>63</v>
      </c>
      <c r="E94" s="50" t="s">
        <v>53</v>
      </c>
      <c r="F94" s="50">
        <v>5000</v>
      </c>
      <c r="G94" s="50">
        <v>2012</v>
      </c>
      <c r="H94" s="50">
        <v>177922</v>
      </c>
      <c r="I94" s="50">
        <v>24034.400000000001</v>
      </c>
      <c r="J94" s="51">
        <v>4326192</v>
      </c>
      <c r="K94" s="51">
        <v>72986</v>
      </c>
      <c r="L94" s="51">
        <f t="shared" si="4"/>
        <v>4399178</v>
      </c>
      <c r="M94" s="50" t="s">
        <v>54</v>
      </c>
      <c r="N94" s="52">
        <v>97.6</v>
      </c>
      <c r="O94" s="75">
        <f t="shared" si="5"/>
        <v>24.725317835905621</v>
      </c>
    </row>
    <row r="95" spans="1:15" ht="15" customHeight="1" x14ac:dyDescent="0.25">
      <c r="A95" s="74" t="s">
        <v>183</v>
      </c>
      <c r="B95" s="50" t="s">
        <v>50</v>
      </c>
      <c r="C95" s="50" t="s">
        <v>91</v>
      </c>
      <c r="D95" s="50" t="s">
        <v>58</v>
      </c>
      <c r="E95" s="50" t="s">
        <v>53</v>
      </c>
      <c r="F95" s="50">
        <v>5000</v>
      </c>
      <c r="G95" s="50">
        <v>2012</v>
      </c>
      <c r="H95" s="50">
        <v>276292</v>
      </c>
      <c r="I95" s="50">
        <v>47871.8</v>
      </c>
      <c r="J95" s="51">
        <v>8616924</v>
      </c>
      <c r="K95" s="51">
        <v>45645</v>
      </c>
      <c r="L95" s="51">
        <f t="shared" si="4"/>
        <v>8662569</v>
      </c>
      <c r="M95" s="50" t="s">
        <v>54</v>
      </c>
      <c r="N95" s="52">
        <v>67</v>
      </c>
      <c r="O95" s="75">
        <f t="shared" si="5"/>
        <v>31.352949053899497</v>
      </c>
    </row>
    <row r="96" spans="1:15" ht="15" customHeight="1" x14ac:dyDescent="0.25">
      <c r="A96" s="74" t="s">
        <v>184</v>
      </c>
      <c r="B96" s="50" t="s">
        <v>113</v>
      </c>
      <c r="C96" s="50" t="s">
        <v>91</v>
      </c>
      <c r="D96" s="50" t="s">
        <v>63</v>
      </c>
      <c r="E96" s="50" t="s">
        <v>53</v>
      </c>
      <c r="F96" s="50">
        <v>4000</v>
      </c>
      <c r="G96" s="50">
        <v>2018</v>
      </c>
      <c r="H96" s="50">
        <v>90834</v>
      </c>
      <c r="I96" s="50">
        <v>10751</v>
      </c>
      <c r="J96" s="51">
        <v>1935180</v>
      </c>
      <c r="K96" s="51">
        <v>111796</v>
      </c>
      <c r="L96" s="51">
        <f t="shared" si="4"/>
        <v>2046976</v>
      </c>
      <c r="M96" s="50" t="s">
        <v>54</v>
      </c>
      <c r="N96" s="52">
        <v>91.6</v>
      </c>
      <c r="O96" s="75">
        <f t="shared" si="5"/>
        <v>22.535350199264592</v>
      </c>
    </row>
    <row r="97" spans="1:15" ht="15" customHeight="1" x14ac:dyDescent="0.25">
      <c r="A97" s="74" t="s">
        <v>185</v>
      </c>
      <c r="B97" s="50" t="s">
        <v>50</v>
      </c>
      <c r="C97" s="50" t="s">
        <v>68</v>
      </c>
      <c r="D97" s="50" t="s">
        <v>94</v>
      </c>
      <c r="E97" s="50" t="s">
        <v>53</v>
      </c>
      <c r="F97" s="50">
        <v>3500</v>
      </c>
      <c r="G97" s="50">
        <v>2022</v>
      </c>
      <c r="H97" s="50">
        <v>155075</v>
      </c>
      <c r="I97" s="50">
        <v>25130.7</v>
      </c>
      <c r="J97" s="51">
        <v>4523526</v>
      </c>
      <c r="K97" s="51">
        <v>44698</v>
      </c>
      <c r="L97" s="51">
        <f t="shared" si="4"/>
        <v>4568224</v>
      </c>
      <c r="M97" s="50" t="s">
        <v>54</v>
      </c>
      <c r="N97" s="52">
        <v>76.099999999999994</v>
      </c>
      <c r="O97" s="75">
        <f t="shared" si="5"/>
        <v>29.458158955344189</v>
      </c>
    </row>
    <row r="98" spans="1:15" ht="15" customHeight="1" x14ac:dyDescent="0.25">
      <c r="A98" s="74" t="s">
        <v>186</v>
      </c>
      <c r="B98" s="50" t="s">
        <v>113</v>
      </c>
      <c r="C98" s="50" t="s">
        <v>80</v>
      </c>
      <c r="D98" s="50" t="s">
        <v>63</v>
      </c>
      <c r="E98" s="50" t="s">
        <v>53</v>
      </c>
      <c r="F98" s="50">
        <v>4000</v>
      </c>
      <c r="G98" s="50">
        <v>2018</v>
      </c>
      <c r="H98" s="50">
        <v>268934</v>
      </c>
      <c r="I98" s="50">
        <v>30796.3</v>
      </c>
      <c r="J98" s="51">
        <v>5543334</v>
      </c>
      <c r="K98" s="51">
        <v>72951</v>
      </c>
      <c r="L98" s="51">
        <f t="shared" ref="L98:L129" si="6">J98+K98</f>
        <v>5616285</v>
      </c>
      <c r="M98" s="50" t="s">
        <v>54</v>
      </c>
      <c r="N98" s="52">
        <v>69.099999999999994</v>
      </c>
      <c r="O98" s="75">
        <f t="shared" ref="O98:O129" si="7">IF(H98&gt;0,L98/H98,0)</f>
        <v>20.883506733994214</v>
      </c>
    </row>
    <row r="99" spans="1:15" ht="15" customHeight="1" x14ac:dyDescent="0.25">
      <c r="A99" s="74" t="s">
        <v>187</v>
      </c>
      <c r="B99" s="50" t="s">
        <v>67</v>
      </c>
      <c r="C99" s="50" t="s">
        <v>80</v>
      </c>
      <c r="D99" s="50" t="s">
        <v>63</v>
      </c>
      <c r="E99" s="50" t="s">
        <v>53</v>
      </c>
      <c r="F99" s="50">
        <v>5000</v>
      </c>
      <c r="G99" s="50">
        <v>2013</v>
      </c>
      <c r="H99" s="50">
        <v>215787</v>
      </c>
      <c r="I99" s="50">
        <v>22302.9</v>
      </c>
      <c r="J99" s="51">
        <v>4014522</v>
      </c>
      <c r="K99" s="51">
        <v>96432</v>
      </c>
      <c r="L99" s="51">
        <f t="shared" si="6"/>
        <v>4110954</v>
      </c>
      <c r="M99" s="50" t="s">
        <v>54</v>
      </c>
      <c r="N99" s="52">
        <v>84.5</v>
      </c>
      <c r="O99" s="75">
        <f t="shared" si="7"/>
        <v>19.050980828316813</v>
      </c>
    </row>
    <row r="100" spans="1:15" ht="15" customHeight="1" x14ac:dyDescent="0.25">
      <c r="A100" s="74" t="s">
        <v>188</v>
      </c>
      <c r="B100" s="50" t="s">
        <v>57</v>
      </c>
      <c r="C100" s="50" t="s">
        <v>62</v>
      </c>
      <c r="D100" s="50" t="s">
        <v>63</v>
      </c>
      <c r="E100" s="50" t="s">
        <v>53</v>
      </c>
      <c r="F100" s="50">
        <v>4000</v>
      </c>
      <c r="G100" s="50">
        <v>2010</v>
      </c>
      <c r="H100" s="50">
        <v>81189</v>
      </c>
      <c r="I100" s="50">
        <v>10573.2</v>
      </c>
      <c r="J100" s="51">
        <v>1903176</v>
      </c>
      <c r="K100" s="51">
        <v>76969</v>
      </c>
      <c r="L100" s="51">
        <f t="shared" si="6"/>
        <v>1980145</v>
      </c>
      <c r="M100" s="50" t="s">
        <v>54</v>
      </c>
      <c r="N100" s="52">
        <v>91.3</v>
      </c>
      <c r="O100" s="75">
        <f t="shared" si="7"/>
        <v>24.389326140240673</v>
      </c>
    </row>
    <row r="101" spans="1:15" ht="15" customHeight="1" x14ac:dyDescent="0.25">
      <c r="A101" s="74" t="s">
        <v>189</v>
      </c>
      <c r="B101" s="50" t="s">
        <v>113</v>
      </c>
      <c r="C101" s="50" t="s">
        <v>96</v>
      </c>
      <c r="D101" s="50" t="s">
        <v>89</v>
      </c>
      <c r="E101" s="50" t="s">
        <v>53</v>
      </c>
      <c r="F101" s="50">
        <v>4000</v>
      </c>
      <c r="G101" s="50">
        <v>2010</v>
      </c>
      <c r="H101" s="50">
        <v>90578</v>
      </c>
      <c r="I101" s="50">
        <v>10959.7</v>
      </c>
      <c r="J101" s="51">
        <v>1972746</v>
      </c>
      <c r="K101" s="51">
        <v>83752</v>
      </c>
      <c r="L101" s="51">
        <f t="shared" si="6"/>
        <v>2056498</v>
      </c>
      <c r="M101" s="50" t="s">
        <v>54</v>
      </c>
      <c r="N101" s="52">
        <v>69.900000000000006</v>
      </c>
      <c r="O101" s="75">
        <f t="shared" si="7"/>
        <v>22.704166574664928</v>
      </c>
    </row>
    <row r="102" spans="1:15" ht="15" customHeight="1" x14ac:dyDescent="0.25">
      <c r="A102" s="74" t="s">
        <v>190</v>
      </c>
      <c r="B102" s="50" t="s">
        <v>71</v>
      </c>
      <c r="C102" s="50" t="s">
        <v>131</v>
      </c>
      <c r="D102" s="50" t="s">
        <v>89</v>
      </c>
      <c r="E102" s="50" t="s">
        <v>53</v>
      </c>
      <c r="F102" s="50">
        <v>5000</v>
      </c>
      <c r="G102" s="50">
        <v>2016</v>
      </c>
      <c r="H102" s="50">
        <v>57108</v>
      </c>
      <c r="I102" s="50">
        <v>9432.9</v>
      </c>
      <c r="J102" s="51">
        <v>1697922</v>
      </c>
      <c r="K102" s="51">
        <v>104496</v>
      </c>
      <c r="L102" s="51">
        <f t="shared" si="6"/>
        <v>1802418</v>
      </c>
      <c r="M102" s="50" t="s">
        <v>54</v>
      </c>
      <c r="N102" s="52">
        <v>65.099999999999994</v>
      </c>
      <c r="O102" s="75">
        <f t="shared" si="7"/>
        <v>31.561567556209287</v>
      </c>
    </row>
    <row r="103" spans="1:15" ht="15" customHeight="1" x14ac:dyDescent="0.25">
      <c r="A103" s="74" t="s">
        <v>191</v>
      </c>
      <c r="B103" s="50" t="s">
        <v>67</v>
      </c>
      <c r="C103" s="50" t="s">
        <v>119</v>
      </c>
      <c r="D103" s="50" t="s">
        <v>94</v>
      </c>
      <c r="E103" s="50" t="s">
        <v>53</v>
      </c>
      <c r="F103" s="50">
        <v>4500</v>
      </c>
      <c r="G103" s="50">
        <v>2010</v>
      </c>
      <c r="H103" s="50">
        <v>50872</v>
      </c>
      <c r="I103" s="50">
        <v>5264.1</v>
      </c>
      <c r="J103" s="51">
        <v>947538</v>
      </c>
      <c r="K103" s="51">
        <v>86862</v>
      </c>
      <c r="L103" s="51">
        <f t="shared" si="6"/>
        <v>1034400</v>
      </c>
      <c r="M103" s="50" t="s">
        <v>54</v>
      </c>
      <c r="N103" s="52">
        <v>57.1</v>
      </c>
      <c r="O103" s="75">
        <f t="shared" si="7"/>
        <v>20.333385752476804</v>
      </c>
    </row>
    <row r="104" spans="1:15" ht="15" customHeight="1" x14ac:dyDescent="0.25">
      <c r="A104" s="74" t="s">
        <v>192</v>
      </c>
      <c r="B104" s="50" t="s">
        <v>50</v>
      </c>
      <c r="C104" s="50" t="s">
        <v>62</v>
      </c>
      <c r="D104" s="50" t="s">
        <v>58</v>
      </c>
      <c r="E104" s="50" t="s">
        <v>53</v>
      </c>
      <c r="F104" s="50">
        <v>5000</v>
      </c>
      <c r="G104" s="50">
        <v>2021</v>
      </c>
      <c r="H104" s="50">
        <v>67694</v>
      </c>
      <c r="I104" s="50">
        <v>8419</v>
      </c>
      <c r="J104" s="51">
        <v>1515420</v>
      </c>
      <c r="K104" s="51">
        <v>87870</v>
      </c>
      <c r="L104" s="51">
        <f t="shared" si="6"/>
        <v>1603290</v>
      </c>
      <c r="M104" s="50" t="s">
        <v>54</v>
      </c>
      <c r="N104" s="52">
        <v>47.4</v>
      </c>
      <c r="O104" s="75">
        <f t="shared" si="7"/>
        <v>23.684373799745917</v>
      </c>
    </row>
    <row r="105" spans="1:15" ht="15" customHeight="1" x14ac:dyDescent="0.25">
      <c r="A105" s="74" t="s">
        <v>193</v>
      </c>
      <c r="B105" s="50" t="s">
        <v>107</v>
      </c>
      <c r="C105" s="50" t="s">
        <v>68</v>
      </c>
      <c r="D105" s="50" t="s">
        <v>52</v>
      </c>
      <c r="E105" s="50" t="s">
        <v>53</v>
      </c>
      <c r="F105" s="50">
        <v>3500</v>
      </c>
      <c r="G105" s="50">
        <v>2016</v>
      </c>
      <c r="H105" s="50">
        <v>91320</v>
      </c>
      <c r="I105" s="50">
        <v>9535.6</v>
      </c>
      <c r="J105" s="51">
        <v>1716408</v>
      </c>
      <c r="K105" s="51">
        <v>58265</v>
      </c>
      <c r="L105" s="51">
        <f t="shared" si="6"/>
        <v>1774673</v>
      </c>
      <c r="M105" s="50" t="s">
        <v>54</v>
      </c>
      <c r="N105" s="52">
        <v>54.5</v>
      </c>
      <c r="O105" s="75">
        <f t="shared" si="7"/>
        <v>19.433563293911519</v>
      </c>
    </row>
    <row r="106" spans="1:15" ht="15" customHeight="1" x14ac:dyDescent="0.25">
      <c r="A106" s="74" t="s">
        <v>194</v>
      </c>
      <c r="B106" s="50" t="s">
        <v>98</v>
      </c>
      <c r="C106" s="50" t="s">
        <v>96</v>
      </c>
      <c r="D106" s="50" t="s">
        <v>89</v>
      </c>
      <c r="E106" s="50" t="s">
        <v>64</v>
      </c>
      <c r="F106" s="50">
        <v>4000</v>
      </c>
      <c r="G106" s="50">
        <v>2019</v>
      </c>
      <c r="H106" s="50">
        <v>141264</v>
      </c>
      <c r="I106" s="50">
        <v>18331.400000000001</v>
      </c>
      <c r="J106" s="51">
        <v>3574623</v>
      </c>
      <c r="K106" s="51">
        <v>76231</v>
      </c>
      <c r="L106" s="51">
        <f t="shared" si="6"/>
        <v>3650854</v>
      </c>
      <c r="M106" s="50" t="s">
        <v>54</v>
      </c>
      <c r="N106" s="52">
        <v>78.8</v>
      </c>
      <c r="O106" s="75">
        <f t="shared" si="7"/>
        <v>25.844192434024237</v>
      </c>
    </row>
    <row r="107" spans="1:15" ht="15" customHeight="1" x14ac:dyDescent="0.25">
      <c r="A107" s="74" t="s">
        <v>195</v>
      </c>
      <c r="B107" s="50" t="s">
        <v>113</v>
      </c>
      <c r="C107" s="50" t="s">
        <v>68</v>
      </c>
      <c r="D107" s="50" t="s">
        <v>58</v>
      </c>
      <c r="E107" s="50" t="s">
        <v>53</v>
      </c>
      <c r="F107" s="50">
        <v>4000</v>
      </c>
      <c r="G107" s="50">
        <v>2014</v>
      </c>
      <c r="H107" s="50">
        <v>97824</v>
      </c>
      <c r="I107" s="50">
        <v>8548.5</v>
      </c>
      <c r="J107" s="51">
        <v>1538730</v>
      </c>
      <c r="K107" s="51">
        <v>114250</v>
      </c>
      <c r="L107" s="51">
        <f t="shared" si="6"/>
        <v>1652980</v>
      </c>
      <c r="M107" s="50" t="s">
        <v>65</v>
      </c>
      <c r="N107" s="52">
        <v>12</v>
      </c>
      <c r="O107" s="75">
        <f t="shared" si="7"/>
        <v>16.897489368662086</v>
      </c>
    </row>
    <row r="108" spans="1:15" ht="15" customHeight="1" x14ac:dyDescent="0.25">
      <c r="A108" s="74" t="s">
        <v>196</v>
      </c>
      <c r="B108" s="50" t="s">
        <v>57</v>
      </c>
      <c r="C108" s="50" t="s">
        <v>83</v>
      </c>
      <c r="D108" s="50" t="s">
        <v>52</v>
      </c>
      <c r="E108" s="50" t="s">
        <v>53</v>
      </c>
      <c r="F108" s="50">
        <v>4000</v>
      </c>
      <c r="G108" s="50">
        <v>2014</v>
      </c>
      <c r="H108" s="50">
        <v>119447</v>
      </c>
      <c r="I108" s="50">
        <v>21493</v>
      </c>
      <c r="J108" s="51">
        <v>3868740</v>
      </c>
      <c r="K108" s="51">
        <v>104600</v>
      </c>
      <c r="L108" s="51">
        <f t="shared" si="6"/>
        <v>3973340</v>
      </c>
      <c r="M108" s="50" t="s">
        <v>54</v>
      </c>
      <c r="N108" s="52">
        <v>65.2</v>
      </c>
      <c r="O108" s="75">
        <f t="shared" si="7"/>
        <v>33.264460388289365</v>
      </c>
    </row>
    <row r="109" spans="1:15" ht="15" customHeight="1" x14ac:dyDescent="0.25">
      <c r="A109" s="74" t="s">
        <v>197</v>
      </c>
      <c r="B109" s="50" t="s">
        <v>67</v>
      </c>
      <c r="C109" s="50" t="s">
        <v>93</v>
      </c>
      <c r="D109" s="50" t="s">
        <v>52</v>
      </c>
      <c r="E109" s="50" t="s">
        <v>53</v>
      </c>
      <c r="F109" s="50">
        <v>5000</v>
      </c>
      <c r="G109" s="50">
        <v>2014</v>
      </c>
      <c r="H109" s="50">
        <v>26502</v>
      </c>
      <c r="I109" s="50">
        <v>4711.8999999999996</v>
      </c>
      <c r="J109" s="51">
        <v>848142</v>
      </c>
      <c r="K109" s="51">
        <v>84114</v>
      </c>
      <c r="L109" s="51">
        <f t="shared" si="6"/>
        <v>932256</v>
      </c>
      <c r="M109" s="50" t="s">
        <v>54</v>
      </c>
      <c r="N109" s="52">
        <v>75</v>
      </c>
      <c r="O109" s="75">
        <f t="shared" si="7"/>
        <v>35.176816844011775</v>
      </c>
    </row>
    <row r="110" spans="1:15" ht="15" customHeight="1" x14ac:dyDescent="0.25">
      <c r="A110" s="74" t="s">
        <v>198</v>
      </c>
      <c r="B110" s="50" t="s">
        <v>107</v>
      </c>
      <c r="C110" s="50" t="s">
        <v>76</v>
      </c>
      <c r="D110" s="50" t="s">
        <v>89</v>
      </c>
      <c r="E110" s="50" t="s">
        <v>53</v>
      </c>
      <c r="F110" s="50">
        <v>5000</v>
      </c>
      <c r="G110" s="50">
        <v>2017</v>
      </c>
      <c r="H110" s="50">
        <v>165048</v>
      </c>
      <c r="I110" s="50">
        <v>26007.3</v>
      </c>
      <c r="J110" s="51">
        <v>4681314</v>
      </c>
      <c r="K110" s="51">
        <v>39162</v>
      </c>
      <c r="L110" s="51">
        <f t="shared" si="6"/>
        <v>4720476</v>
      </c>
      <c r="M110" s="50" t="s">
        <v>54</v>
      </c>
      <c r="N110" s="52">
        <v>56.6</v>
      </c>
      <c r="O110" s="75">
        <f t="shared" si="7"/>
        <v>28.600625272647957</v>
      </c>
    </row>
    <row r="111" spans="1:15" ht="15" customHeight="1" x14ac:dyDescent="0.25">
      <c r="A111" s="74" t="s">
        <v>199</v>
      </c>
      <c r="B111" s="50" t="s">
        <v>79</v>
      </c>
      <c r="C111" s="50" t="s">
        <v>93</v>
      </c>
      <c r="D111" s="50" t="s">
        <v>52</v>
      </c>
      <c r="E111" s="50" t="s">
        <v>53</v>
      </c>
      <c r="F111" s="50">
        <v>5000</v>
      </c>
      <c r="G111" s="50">
        <v>2022</v>
      </c>
      <c r="H111" s="50">
        <v>86711</v>
      </c>
      <c r="I111" s="50">
        <v>12384.5</v>
      </c>
      <c r="J111" s="51">
        <v>2229210</v>
      </c>
      <c r="K111" s="51">
        <v>109857</v>
      </c>
      <c r="L111" s="51">
        <f t="shared" si="6"/>
        <v>2339067</v>
      </c>
      <c r="M111" s="50" t="s">
        <v>54</v>
      </c>
      <c r="N111" s="52">
        <v>61.4</v>
      </c>
      <c r="O111" s="75">
        <f t="shared" si="7"/>
        <v>26.975435642536702</v>
      </c>
    </row>
    <row r="112" spans="1:15" ht="15" customHeight="1" x14ac:dyDescent="0.25">
      <c r="A112" s="74" t="s">
        <v>200</v>
      </c>
      <c r="B112" s="50" t="s">
        <v>113</v>
      </c>
      <c r="C112" s="50" t="s">
        <v>51</v>
      </c>
      <c r="D112" s="50" t="s">
        <v>89</v>
      </c>
      <c r="E112" s="50" t="s">
        <v>53</v>
      </c>
      <c r="F112" s="50">
        <v>3500</v>
      </c>
      <c r="G112" s="50">
        <v>2021</v>
      </c>
      <c r="H112" s="50">
        <v>83897</v>
      </c>
      <c r="I112" s="50">
        <v>7468</v>
      </c>
      <c r="J112" s="51">
        <v>1344240</v>
      </c>
      <c r="K112" s="51">
        <v>45987</v>
      </c>
      <c r="L112" s="51">
        <f t="shared" si="6"/>
        <v>1390227</v>
      </c>
      <c r="M112" s="50" t="s">
        <v>54</v>
      </c>
      <c r="N112" s="52">
        <v>54.3</v>
      </c>
      <c r="O112" s="75">
        <f t="shared" si="7"/>
        <v>16.570640189756489</v>
      </c>
    </row>
    <row r="113" spans="1:15" ht="15" customHeight="1" x14ac:dyDescent="0.25">
      <c r="A113" s="74" t="s">
        <v>201</v>
      </c>
      <c r="B113" s="50" t="s">
        <v>98</v>
      </c>
      <c r="C113" s="50" t="s">
        <v>72</v>
      </c>
      <c r="D113" s="50" t="s">
        <v>89</v>
      </c>
      <c r="E113" s="50" t="s">
        <v>64</v>
      </c>
      <c r="F113" s="50">
        <v>3500</v>
      </c>
      <c r="G113" s="50">
        <v>2018</v>
      </c>
      <c r="H113" s="50">
        <v>278084</v>
      </c>
      <c r="I113" s="50">
        <v>47649.3</v>
      </c>
      <c r="J113" s="51">
        <v>9291614</v>
      </c>
      <c r="K113" s="51">
        <v>102200</v>
      </c>
      <c r="L113" s="51">
        <f t="shared" si="6"/>
        <v>9393814</v>
      </c>
      <c r="M113" s="50" t="s">
        <v>54</v>
      </c>
      <c r="N113" s="52">
        <v>88.7</v>
      </c>
      <c r="O113" s="75">
        <f t="shared" si="7"/>
        <v>33.780490786956456</v>
      </c>
    </row>
    <row r="114" spans="1:15" ht="15" customHeight="1" x14ac:dyDescent="0.25">
      <c r="A114" s="74" t="s">
        <v>202</v>
      </c>
      <c r="B114" s="50" t="s">
        <v>113</v>
      </c>
      <c r="C114" s="50" t="s">
        <v>72</v>
      </c>
      <c r="D114" s="50" t="s">
        <v>52</v>
      </c>
      <c r="E114" s="50" t="s">
        <v>53</v>
      </c>
      <c r="F114" s="50">
        <v>5000</v>
      </c>
      <c r="G114" s="50">
        <v>2015</v>
      </c>
      <c r="H114" s="50">
        <v>75382</v>
      </c>
      <c r="I114" s="50">
        <v>9560.9</v>
      </c>
      <c r="J114" s="51">
        <v>1720962</v>
      </c>
      <c r="K114" s="51">
        <v>22906</v>
      </c>
      <c r="L114" s="51">
        <f t="shared" si="6"/>
        <v>1743868</v>
      </c>
      <c r="M114" s="50" t="s">
        <v>54</v>
      </c>
      <c r="N114" s="52">
        <v>57</v>
      </c>
      <c r="O114" s="75">
        <f t="shared" si="7"/>
        <v>23.133745456475019</v>
      </c>
    </row>
    <row r="115" spans="1:15" ht="15" customHeight="1" x14ac:dyDescent="0.25">
      <c r="A115" s="74" t="s">
        <v>203</v>
      </c>
      <c r="B115" s="50" t="s">
        <v>57</v>
      </c>
      <c r="C115" s="50" t="s">
        <v>80</v>
      </c>
      <c r="D115" s="50" t="s">
        <v>89</v>
      </c>
      <c r="E115" s="50" t="s">
        <v>53</v>
      </c>
      <c r="F115" s="50">
        <v>3500</v>
      </c>
      <c r="G115" s="50">
        <v>2011</v>
      </c>
      <c r="H115" s="50">
        <v>221870</v>
      </c>
      <c r="I115" s="50">
        <v>18058.400000000001</v>
      </c>
      <c r="J115" s="51">
        <v>3250512</v>
      </c>
      <c r="K115" s="51">
        <v>71340</v>
      </c>
      <c r="L115" s="51">
        <f t="shared" si="6"/>
        <v>3321852</v>
      </c>
      <c r="M115" s="50" t="s">
        <v>54</v>
      </c>
      <c r="N115" s="52">
        <v>80.7</v>
      </c>
      <c r="O115" s="75">
        <f t="shared" si="7"/>
        <v>14.972064722585298</v>
      </c>
    </row>
    <row r="116" spans="1:15" ht="15" customHeight="1" x14ac:dyDescent="0.25">
      <c r="A116" s="74" t="s">
        <v>204</v>
      </c>
      <c r="B116" s="50" t="s">
        <v>71</v>
      </c>
      <c r="C116" s="50" t="s">
        <v>93</v>
      </c>
      <c r="D116" s="50" t="s">
        <v>94</v>
      </c>
      <c r="E116" s="50" t="s">
        <v>53</v>
      </c>
      <c r="F116" s="50">
        <v>5000</v>
      </c>
      <c r="G116" s="50">
        <v>2015</v>
      </c>
      <c r="H116" s="50">
        <v>71804</v>
      </c>
      <c r="I116" s="50">
        <v>10589.9</v>
      </c>
      <c r="J116" s="51">
        <v>1906182</v>
      </c>
      <c r="K116" s="51">
        <v>64505</v>
      </c>
      <c r="L116" s="51">
        <f t="shared" si="6"/>
        <v>1970687</v>
      </c>
      <c r="M116" s="50" t="s">
        <v>54</v>
      </c>
      <c r="N116" s="52">
        <v>95</v>
      </c>
      <c r="O116" s="75">
        <f t="shared" si="7"/>
        <v>27.44536516071528</v>
      </c>
    </row>
    <row r="117" spans="1:15" ht="15" customHeight="1" x14ac:dyDescent="0.25">
      <c r="A117" s="74" t="s">
        <v>205</v>
      </c>
      <c r="B117" s="50" t="s">
        <v>67</v>
      </c>
      <c r="C117" s="50" t="s">
        <v>76</v>
      </c>
      <c r="D117" s="50" t="s">
        <v>89</v>
      </c>
      <c r="E117" s="50" t="s">
        <v>53</v>
      </c>
      <c r="F117" s="50">
        <v>3000</v>
      </c>
      <c r="G117" s="50">
        <v>2020</v>
      </c>
      <c r="H117" s="50">
        <v>48143</v>
      </c>
      <c r="I117" s="50">
        <v>6910.5</v>
      </c>
      <c r="J117" s="51">
        <v>1243890</v>
      </c>
      <c r="K117" s="51">
        <v>63748</v>
      </c>
      <c r="L117" s="51">
        <f t="shared" si="6"/>
        <v>1307638</v>
      </c>
      <c r="M117" s="50" t="s">
        <v>54</v>
      </c>
      <c r="N117" s="52">
        <v>79.400000000000006</v>
      </c>
      <c r="O117" s="75">
        <f t="shared" si="7"/>
        <v>27.161539580001246</v>
      </c>
    </row>
    <row r="118" spans="1:15" ht="15" customHeight="1" x14ac:dyDescent="0.25">
      <c r="A118" s="74" t="s">
        <v>206</v>
      </c>
      <c r="B118" s="50" t="s">
        <v>50</v>
      </c>
      <c r="C118" s="50" t="s">
        <v>103</v>
      </c>
      <c r="D118" s="50" t="s">
        <v>58</v>
      </c>
      <c r="E118" s="50" t="s">
        <v>53</v>
      </c>
      <c r="F118" s="50">
        <v>2500</v>
      </c>
      <c r="G118" s="50">
        <v>2014</v>
      </c>
      <c r="H118" s="50">
        <v>273277</v>
      </c>
      <c r="I118" s="50">
        <v>25035.5</v>
      </c>
      <c r="J118" s="51">
        <v>4506390</v>
      </c>
      <c r="K118" s="51">
        <v>39654</v>
      </c>
      <c r="L118" s="51">
        <f t="shared" si="6"/>
        <v>4546044</v>
      </c>
      <c r="M118" s="50" t="s">
        <v>54</v>
      </c>
      <c r="N118" s="52">
        <v>65.599999999999994</v>
      </c>
      <c r="O118" s="75">
        <f t="shared" si="7"/>
        <v>16.635296786776788</v>
      </c>
    </row>
    <row r="119" spans="1:15" ht="15" customHeight="1" x14ac:dyDescent="0.25">
      <c r="A119" s="74" t="s">
        <v>207</v>
      </c>
      <c r="B119" s="50" t="s">
        <v>67</v>
      </c>
      <c r="C119" s="50" t="s">
        <v>119</v>
      </c>
      <c r="D119" s="50" t="s">
        <v>89</v>
      </c>
      <c r="E119" s="50" t="s">
        <v>53</v>
      </c>
      <c r="F119" s="50">
        <v>4000</v>
      </c>
      <c r="G119" s="50">
        <v>2019</v>
      </c>
      <c r="H119" s="50">
        <v>96014</v>
      </c>
      <c r="I119" s="50">
        <v>16182.3</v>
      </c>
      <c r="J119" s="51">
        <v>2912814</v>
      </c>
      <c r="K119" s="51">
        <v>83767</v>
      </c>
      <c r="L119" s="51">
        <f t="shared" si="6"/>
        <v>2996581</v>
      </c>
      <c r="M119" s="50" t="s">
        <v>54</v>
      </c>
      <c r="N119" s="52">
        <v>77.599999999999994</v>
      </c>
      <c r="O119" s="75">
        <f t="shared" si="7"/>
        <v>31.209833982544211</v>
      </c>
    </row>
    <row r="120" spans="1:15" ht="15" customHeight="1" x14ac:dyDescent="0.25">
      <c r="A120" s="74" t="s">
        <v>208</v>
      </c>
      <c r="B120" s="50" t="s">
        <v>71</v>
      </c>
      <c r="C120" s="50" t="s">
        <v>51</v>
      </c>
      <c r="D120" s="50" t="s">
        <v>52</v>
      </c>
      <c r="E120" s="50" t="s">
        <v>53</v>
      </c>
      <c r="F120" s="50">
        <v>3000</v>
      </c>
      <c r="G120" s="50">
        <v>2017</v>
      </c>
      <c r="H120" s="50">
        <v>248148</v>
      </c>
      <c r="I120" s="50">
        <v>43439.7</v>
      </c>
      <c r="J120" s="51">
        <v>7819146</v>
      </c>
      <c r="K120" s="51">
        <v>104822</v>
      </c>
      <c r="L120" s="51">
        <f t="shared" si="6"/>
        <v>7923968</v>
      </c>
      <c r="M120" s="50" t="s">
        <v>54</v>
      </c>
      <c r="N120" s="52">
        <v>81.3</v>
      </c>
      <c r="O120" s="75">
        <f t="shared" si="7"/>
        <v>31.93242742234473</v>
      </c>
    </row>
    <row r="121" spans="1:15" ht="15" customHeight="1" x14ac:dyDescent="0.25">
      <c r="A121" s="74" t="s">
        <v>209</v>
      </c>
      <c r="B121" s="50" t="s">
        <v>61</v>
      </c>
      <c r="C121" s="50" t="s">
        <v>76</v>
      </c>
      <c r="D121" s="50" t="s">
        <v>52</v>
      </c>
      <c r="E121" s="50" t="s">
        <v>64</v>
      </c>
      <c r="F121" s="50">
        <v>2500</v>
      </c>
      <c r="G121" s="50">
        <v>2016</v>
      </c>
      <c r="H121" s="50">
        <v>159641</v>
      </c>
      <c r="I121" s="50">
        <v>15801.4</v>
      </c>
      <c r="J121" s="51">
        <v>3081273</v>
      </c>
      <c r="K121" s="51">
        <v>27827</v>
      </c>
      <c r="L121" s="51">
        <f t="shared" si="6"/>
        <v>3109100</v>
      </c>
      <c r="M121" s="50" t="s">
        <v>54</v>
      </c>
      <c r="N121" s="52">
        <v>69.099999999999994</v>
      </c>
      <c r="O121" s="75">
        <f t="shared" si="7"/>
        <v>19.475573317631437</v>
      </c>
    </row>
    <row r="122" spans="1:15" ht="15" customHeight="1" x14ac:dyDescent="0.25">
      <c r="A122" s="74" t="s">
        <v>210</v>
      </c>
      <c r="B122" s="50" t="s">
        <v>79</v>
      </c>
      <c r="C122" s="50" t="s">
        <v>119</v>
      </c>
      <c r="D122" s="50" t="s">
        <v>89</v>
      </c>
      <c r="E122" s="50" t="s">
        <v>53</v>
      </c>
      <c r="F122" s="50">
        <v>2500</v>
      </c>
      <c r="G122" s="50">
        <v>2010</v>
      </c>
      <c r="H122" s="50">
        <v>189854</v>
      </c>
      <c r="I122" s="50">
        <v>19812.599999999999</v>
      </c>
      <c r="J122" s="51">
        <v>3566268</v>
      </c>
      <c r="K122" s="51">
        <v>28222</v>
      </c>
      <c r="L122" s="51">
        <f t="shared" si="6"/>
        <v>3594490</v>
      </c>
      <c r="M122" s="50" t="s">
        <v>54</v>
      </c>
      <c r="N122" s="52">
        <v>48.6</v>
      </c>
      <c r="O122" s="75">
        <f t="shared" si="7"/>
        <v>18.932916872965542</v>
      </c>
    </row>
    <row r="123" spans="1:15" ht="15" customHeight="1" x14ac:dyDescent="0.25">
      <c r="A123" s="74" t="s">
        <v>211</v>
      </c>
      <c r="B123" s="50" t="s">
        <v>61</v>
      </c>
      <c r="C123" s="50" t="s">
        <v>86</v>
      </c>
      <c r="D123" s="50" t="s">
        <v>89</v>
      </c>
      <c r="E123" s="50" t="s">
        <v>64</v>
      </c>
      <c r="F123" s="50">
        <v>3000</v>
      </c>
      <c r="G123" s="50">
        <v>2013</v>
      </c>
      <c r="H123" s="50">
        <v>187259</v>
      </c>
      <c r="I123" s="50">
        <v>29481.5</v>
      </c>
      <c r="J123" s="51">
        <v>5748892</v>
      </c>
      <c r="K123" s="51">
        <v>97808</v>
      </c>
      <c r="L123" s="51">
        <f t="shared" si="6"/>
        <v>5846700</v>
      </c>
      <c r="M123" s="50" t="s">
        <v>54</v>
      </c>
      <c r="N123" s="52">
        <v>59.7</v>
      </c>
      <c r="O123" s="75">
        <f t="shared" si="7"/>
        <v>31.222531360308452</v>
      </c>
    </row>
    <row r="124" spans="1:15" ht="15" customHeight="1" x14ac:dyDescent="0.25">
      <c r="A124" s="74" t="s">
        <v>212</v>
      </c>
      <c r="B124" s="50" t="s">
        <v>98</v>
      </c>
      <c r="C124" s="50" t="s">
        <v>103</v>
      </c>
      <c r="D124" s="50" t="s">
        <v>89</v>
      </c>
      <c r="E124" s="50" t="s">
        <v>64</v>
      </c>
      <c r="F124" s="50">
        <v>3500</v>
      </c>
      <c r="G124" s="50">
        <v>2022</v>
      </c>
      <c r="H124" s="50">
        <v>106486</v>
      </c>
      <c r="I124" s="50">
        <v>9689.4</v>
      </c>
      <c r="J124" s="51">
        <v>1889433</v>
      </c>
      <c r="K124" s="51">
        <v>105977</v>
      </c>
      <c r="L124" s="51">
        <f t="shared" si="6"/>
        <v>1995410</v>
      </c>
      <c r="M124" s="50" t="s">
        <v>54</v>
      </c>
      <c r="N124" s="52">
        <v>64</v>
      </c>
      <c r="O124" s="75">
        <f t="shared" si="7"/>
        <v>18.738707435719249</v>
      </c>
    </row>
    <row r="125" spans="1:15" ht="15" customHeight="1" x14ac:dyDescent="0.25">
      <c r="A125" s="74" t="s">
        <v>213</v>
      </c>
      <c r="B125" s="50" t="s">
        <v>79</v>
      </c>
      <c r="C125" s="50" t="s">
        <v>93</v>
      </c>
      <c r="D125" s="50" t="s">
        <v>52</v>
      </c>
      <c r="E125" s="50" t="s">
        <v>53</v>
      </c>
      <c r="F125" s="50">
        <v>2500</v>
      </c>
      <c r="G125" s="50">
        <v>2012</v>
      </c>
      <c r="H125" s="50">
        <v>154129</v>
      </c>
      <c r="I125" s="50">
        <v>13137.9</v>
      </c>
      <c r="J125" s="51">
        <v>2364822</v>
      </c>
      <c r="K125" s="51">
        <v>92880</v>
      </c>
      <c r="L125" s="51">
        <f t="shared" si="6"/>
        <v>2457702</v>
      </c>
      <c r="M125" s="50" t="s">
        <v>54</v>
      </c>
      <c r="N125" s="52">
        <v>84.5</v>
      </c>
      <c r="O125" s="75">
        <f t="shared" si="7"/>
        <v>15.945746744610034</v>
      </c>
    </row>
    <row r="126" spans="1:15" ht="15" customHeight="1" x14ac:dyDescent="0.25">
      <c r="A126" s="74" t="s">
        <v>214</v>
      </c>
      <c r="B126" s="50" t="s">
        <v>113</v>
      </c>
      <c r="C126" s="50" t="s">
        <v>91</v>
      </c>
      <c r="D126" s="50" t="s">
        <v>52</v>
      </c>
      <c r="E126" s="50" t="s">
        <v>53</v>
      </c>
      <c r="F126" s="50">
        <v>4500</v>
      </c>
      <c r="G126" s="50">
        <v>2019</v>
      </c>
      <c r="H126" s="50">
        <v>72175</v>
      </c>
      <c r="I126" s="50">
        <v>9036.2999999999993</v>
      </c>
      <c r="J126" s="51">
        <v>1626534</v>
      </c>
      <c r="K126" s="51">
        <v>38263</v>
      </c>
      <c r="L126" s="51">
        <f t="shared" si="6"/>
        <v>1664797</v>
      </c>
      <c r="M126" s="50" t="s">
        <v>54</v>
      </c>
      <c r="N126" s="52">
        <v>83.5</v>
      </c>
      <c r="O126" s="75">
        <f t="shared" si="7"/>
        <v>23.066117076550054</v>
      </c>
    </row>
    <row r="127" spans="1:15" ht="15" customHeight="1" x14ac:dyDescent="0.25">
      <c r="A127" s="74" t="s">
        <v>215</v>
      </c>
      <c r="B127" s="50" t="s">
        <v>61</v>
      </c>
      <c r="C127" s="50" t="s">
        <v>68</v>
      </c>
      <c r="D127" s="50" t="s">
        <v>94</v>
      </c>
      <c r="E127" s="50" t="s">
        <v>64</v>
      </c>
      <c r="F127" s="50">
        <v>5000</v>
      </c>
      <c r="G127" s="50">
        <v>2010</v>
      </c>
      <c r="H127" s="50">
        <v>46890</v>
      </c>
      <c r="I127" s="50">
        <v>8433.6</v>
      </c>
      <c r="J127" s="51">
        <v>1644552</v>
      </c>
      <c r="K127" s="51">
        <v>103966</v>
      </c>
      <c r="L127" s="51">
        <f t="shared" si="6"/>
        <v>1748518</v>
      </c>
      <c r="M127" s="50" t="s">
        <v>54</v>
      </c>
      <c r="N127" s="52">
        <v>50.7</v>
      </c>
      <c r="O127" s="75">
        <f t="shared" si="7"/>
        <v>37.28978460226061</v>
      </c>
    </row>
    <row r="128" spans="1:15" ht="15" customHeight="1" x14ac:dyDescent="0.25">
      <c r="A128" s="74" t="s">
        <v>216</v>
      </c>
      <c r="B128" s="50" t="s">
        <v>113</v>
      </c>
      <c r="C128" s="50" t="s">
        <v>96</v>
      </c>
      <c r="D128" s="50" t="s">
        <v>58</v>
      </c>
      <c r="E128" s="50" t="s">
        <v>53</v>
      </c>
      <c r="F128" s="50">
        <v>3500</v>
      </c>
      <c r="G128" s="50">
        <v>2019</v>
      </c>
      <c r="H128" s="50">
        <v>92769</v>
      </c>
      <c r="I128" s="50">
        <v>8030.8</v>
      </c>
      <c r="J128" s="51">
        <v>1445544</v>
      </c>
      <c r="K128" s="51">
        <v>43877</v>
      </c>
      <c r="L128" s="51">
        <f t="shared" si="6"/>
        <v>1489421</v>
      </c>
      <c r="M128" s="50" t="s">
        <v>54</v>
      </c>
      <c r="N128" s="52">
        <v>74.099999999999994</v>
      </c>
      <c r="O128" s="75">
        <f t="shared" si="7"/>
        <v>16.055158512002933</v>
      </c>
    </row>
    <row r="129" spans="1:15" ht="15" customHeight="1" x14ac:dyDescent="0.25">
      <c r="A129" s="74" t="s">
        <v>217</v>
      </c>
      <c r="B129" s="50" t="s">
        <v>67</v>
      </c>
      <c r="C129" s="50" t="s">
        <v>62</v>
      </c>
      <c r="D129" s="50" t="s">
        <v>89</v>
      </c>
      <c r="E129" s="50" t="s">
        <v>53</v>
      </c>
      <c r="F129" s="50">
        <v>4500</v>
      </c>
      <c r="G129" s="50">
        <v>2014</v>
      </c>
      <c r="H129" s="50">
        <v>252877</v>
      </c>
      <c r="I129" s="50">
        <v>33014.400000000001</v>
      </c>
      <c r="J129" s="51">
        <v>5942592</v>
      </c>
      <c r="K129" s="51">
        <v>60171</v>
      </c>
      <c r="L129" s="51">
        <f t="shared" si="6"/>
        <v>6002763</v>
      </c>
      <c r="M129" s="50" t="s">
        <v>54</v>
      </c>
      <c r="N129" s="52">
        <v>51.1</v>
      </c>
      <c r="O129" s="75">
        <f t="shared" si="7"/>
        <v>23.737876517041883</v>
      </c>
    </row>
    <row r="130" spans="1:15" ht="15" customHeight="1" x14ac:dyDescent="0.25">
      <c r="A130" s="74" t="s">
        <v>218</v>
      </c>
      <c r="B130" s="50" t="s">
        <v>61</v>
      </c>
      <c r="C130" s="50" t="s">
        <v>83</v>
      </c>
      <c r="D130" s="50" t="s">
        <v>63</v>
      </c>
      <c r="E130" s="50" t="s">
        <v>64</v>
      </c>
      <c r="F130" s="50">
        <v>4000</v>
      </c>
      <c r="G130" s="50">
        <v>2017</v>
      </c>
      <c r="H130" s="50">
        <v>134796</v>
      </c>
      <c r="I130" s="50">
        <v>16361.7</v>
      </c>
      <c r="J130" s="51">
        <v>3190532</v>
      </c>
      <c r="K130" s="51">
        <v>101879</v>
      </c>
      <c r="L130" s="51">
        <f t="shared" ref="L130:L161" si="8">J130+K130</f>
        <v>3292411</v>
      </c>
      <c r="M130" s="50" t="s">
        <v>54</v>
      </c>
      <c r="N130" s="52">
        <v>83.7</v>
      </c>
      <c r="O130" s="75">
        <f t="shared" ref="O130:O161" si="9">IF(H130&gt;0,L130/H130,0)</f>
        <v>24.42513872815217</v>
      </c>
    </row>
    <row r="131" spans="1:15" ht="15" customHeight="1" x14ac:dyDescent="0.25">
      <c r="A131" s="74" t="s">
        <v>219</v>
      </c>
      <c r="B131" s="50" t="s">
        <v>67</v>
      </c>
      <c r="C131" s="50" t="s">
        <v>62</v>
      </c>
      <c r="D131" s="50" t="s">
        <v>52</v>
      </c>
      <c r="E131" s="50" t="s">
        <v>53</v>
      </c>
      <c r="F131" s="50">
        <v>5000</v>
      </c>
      <c r="G131" s="50">
        <v>2014</v>
      </c>
      <c r="H131" s="50">
        <v>211241</v>
      </c>
      <c r="I131" s="50">
        <v>37043.1</v>
      </c>
      <c r="J131" s="51">
        <v>6667758</v>
      </c>
      <c r="K131" s="51">
        <v>87116</v>
      </c>
      <c r="L131" s="51">
        <f t="shared" si="8"/>
        <v>6754874</v>
      </c>
      <c r="M131" s="50" t="s">
        <v>54</v>
      </c>
      <c r="N131" s="52">
        <v>49.8</v>
      </c>
      <c r="O131" s="75">
        <f t="shared" si="9"/>
        <v>31.977097249113573</v>
      </c>
    </row>
    <row r="132" spans="1:15" ht="15" customHeight="1" x14ac:dyDescent="0.25">
      <c r="A132" s="74" t="s">
        <v>220</v>
      </c>
      <c r="B132" s="50" t="s">
        <v>50</v>
      </c>
      <c r="C132" s="50" t="s">
        <v>96</v>
      </c>
      <c r="D132" s="50" t="s">
        <v>94</v>
      </c>
      <c r="E132" s="50" t="s">
        <v>53</v>
      </c>
      <c r="F132" s="50">
        <v>2500</v>
      </c>
      <c r="G132" s="50">
        <v>2021</v>
      </c>
      <c r="H132" s="50">
        <v>210374</v>
      </c>
      <c r="I132" s="50">
        <v>33907.4</v>
      </c>
      <c r="J132" s="51">
        <v>6103332</v>
      </c>
      <c r="K132" s="51">
        <v>73419</v>
      </c>
      <c r="L132" s="51">
        <f t="shared" si="8"/>
        <v>6176751</v>
      </c>
      <c r="M132" s="50" t="s">
        <v>54</v>
      </c>
      <c r="N132" s="52">
        <v>74.8</v>
      </c>
      <c r="O132" s="75">
        <f t="shared" si="9"/>
        <v>29.360809795887324</v>
      </c>
    </row>
    <row r="133" spans="1:15" ht="15" customHeight="1" x14ac:dyDescent="0.25">
      <c r="A133" s="74" t="s">
        <v>221</v>
      </c>
      <c r="B133" s="50" t="s">
        <v>67</v>
      </c>
      <c r="C133" s="50" t="s">
        <v>119</v>
      </c>
      <c r="D133" s="50" t="s">
        <v>58</v>
      </c>
      <c r="E133" s="50" t="s">
        <v>53</v>
      </c>
      <c r="F133" s="50">
        <v>4000</v>
      </c>
      <c r="G133" s="50">
        <v>2015</v>
      </c>
      <c r="H133" s="50">
        <v>236740</v>
      </c>
      <c r="I133" s="50">
        <v>39490.400000000001</v>
      </c>
      <c r="J133" s="51">
        <v>7108272</v>
      </c>
      <c r="K133" s="51">
        <v>90711</v>
      </c>
      <c r="L133" s="51">
        <f t="shared" si="8"/>
        <v>7198983</v>
      </c>
      <c r="M133" s="50" t="s">
        <v>65</v>
      </c>
      <c r="N133" s="52">
        <v>24</v>
      </c>
      <c r="O133" s="75">
        <f t="shared" si="9"/>
        <v>30.408815578271522</v>
      </c>
    </row>
    <row r="134" spans="1:15" ht="15" customHeight="1" x14ac:dyDescent="0.25">
      <c r="A134" s="74" t="s">
        <v>222</v>
      </c>
      <c r="B134" s="50" t="s">
        <v>67</v>
      </c>
      <c r="C134" s="50" t="s">
        <v>96</v>
      </c>
      <c r="D134" s="50" t="s">
        <v>89</v>
      </c>
      <c r="E134" s="50" t="s">
        <v>53</v>
      </c>
      <c r="F134" s="50">
        <v>4500</v>
      </c>
      <c r="G134" s="50">
        <v>2013</v>
      </c>
      <c r="H134" s="50">
        <v>96123</v>
      </c>
      <c r="I134" s="50">
        <v>14002.6</v>
      </c>
      <c r="J134" s="51">
        <v>2520468</v>
      </c>
      <c r="K134" s="51">
        <v>38546</v>
      </c>
      <c r="L134" s="51">
        <f t="shared" si="8"/>
        <v>2559014</v>
      </c>
      <c r="M134" s="50" t="s">
        <v>54</v>
      </c>
      <c r="N134" s="52">
        <v>89.8</v>
      </c>
      <c r="O134" s="75">
        <f t="shared" si="9"/>
        <v>26.622286029358218</v>
      </c>
    </row>
    <row r="135" spans="1:15" ht="15" customHeight="1" x14ac:dyDescent="0.25">
      <c r="A135" s="74" t="s">
        <v>223</v>
      </c>
      <c r="B135" s="50" t="s">
        <v>67</v>
      </c>
      <c r="C135" s="50" t="s">
        <v>96</v>
      </c>
      <c r="D135" s="50" t="s">
        <v>52</v>
      </c>
      <c r="E135" s="50" t="s">
        <v>53</v>
      </c>
      <c r="F135" s="50">
        <v>4500</v>
      </c>
      <c r="G135" s="50">
        <v>2013</v>
      </c>
      <c r="H135" s="50">
        <v>239978</v>
      </c>
      <c r="I135" s="50">
        <v>39480.1</v>
      </c>
      <c r="J135" s="51">
        <v>7106418</v>
      </c>
      <c r="K135" s="51">
        <v>117327</v>
      </c>
      <c r="L135" s="51">
        <f t="shared" si="8"/>
        <v>7223745</v>
      </c>
      <c r="M135" s="50" t="s">
        <v>54</v>
      </c>
      <c r="N135" s="52">
        <v>77.5</v>
      </c>
      <c r="O135" s="75">
        <f t="shared" si="9"/>
        <v>30.101696822208702</v>
      </c>
    </row>
    <row r="136" spans="1:15" ht="15" customHeight="1" x14ac:dyDescent="0.25">
      <c r="A136" s="74" t="s">
        <v>224</v>
      </c>
      <c r="B136" s="50" t="s">
        <v>61</v>
      </c>
      <c r="C136" s="50" t="s">
        <v>51</v>
      </c>
      <c r="D136" s="50" t="s">
        <v>89</v>
      </c>
      <c r="E136" s="50" t="s">
        <v>64</v>
      </c>
      <c r="F136" s="50">
        <v>5000</v>
      </c>
      <c r="G136" s="50">
        <v>2021</v>
      </c>
      <c r="H136" s="50">
        <v>155219</v>
      </c>
      <c r="I136" s="50">
        <v>12866.9</v>
      </c>
      <c r="J136" s="51">
        <v>2509046</v>
      </c>
      <c r="K136" s="51">
        <v>43693</v>
      </c>
      <c r="L136" s="51">
        <f t="shared" si="8"/>
        <v>2552739</v>
      </c>
      <c r="M136" s="50" t="s">
        <v>54</v>
      </c>
      <c r="N136" s="52">
        <v>93.8</v>
      </c>
      <c r="O136" s="75">
        <f t="shared" si="9"/>
        <v>16.446047197830161</v>
      </c>
    </row>
    <row r="137" spans="1:15" ht="15" customHeight="1" x14ac:dyDescent="0.25">
      <c r="A137" s="74" t="s">
        <v>225</v>
      </c>
      <c r="B137" s="50" t="s">
        <v>67</v>
      </c>
      <c r="C137" s="50" t="s">
        <v>51</v>
      </c>
      <c r="D137" s="50" t="s">
        <v>63</v>
      </c>
      <c r="E137" s="50" t="s">
        <v>53</v>
      </c>
      <c r="F137" s="50">
        <v>3000</v>
      </c>
      <c r="G137" s="50">
        <v>2019</v>
      </c>
      <c r="H137" s="50">
        <v>225126</v>
      </c>
      <c r="I137" s="50">
        <v>19576.599999999999</v>
      </c>
      <c r="J137" s="51">
        <v>3523788</v>
      </c>
      <c r="K137" s="51">
        <v>92802</v>
      </c>
      <c r="L137" s="51">
        <f t="shared" si="8"/>
        <v>3616590</v>
      </c>
      <c r="M137" s="50" t="s">
        <v>65</v>
      </c>
      <c r="N137" s="52">
        <v>3.7</v>
      </c>
      <c r="O137" s="75">
        <f t="shared" si="9"/>
        <v>16.064737080568214</v>
      </c>
    </row>
    <row r="138" spans="1:15" ht="15" customHeight="1" x14ac:dyDescent="0.25">
      <c r="A138" s="74" t="s">
        <v>226</v>
      </c>
      <c r="B138" s="50" t="s">
        <v>61</v>
      </c>
      <c r="C138" s="50" t="s">
        <v>86</v>
      </c>
      <c r="D138" s="50" t="s">
        <v>94</v>
      </c>
      <c r="E138" s="50" t="s">
        <v>64</v>
      </c>
      <c r="F138" s="50">
        <v>4000</v>
      </c>
      <c r="G138" s="50">
        <v>2017</v>
      </c>
      <c r="H138" s="50">
        <v>193727</v>
      </c>
      <c r="I138" s="50">
        <v>18547.599999999999</v>
      </c>
      <c r="J138" s="51">
        <v>3616782</v>
      </c>
      <c r="K138" s="51">
        <v>47722</v>
      </c>
      <c r="L138" s="51">
        <f t="shared" si="8"/>
        <v>3664504</v>
      </c>
      <c r="M138" s="50" t="s">
        <v>54</v>
      </c>
      <c r="N138" s="52">
        <v>94.9</v>
      </c>
      <c r="O138" s="75">
        <f t="shared" si="9"/>
        <v>18.915814522498156</v>
      </c>
    </row>
    <row r="139" spans="1:15" ht="15" customHeight="1" x14ac:dyDescent="0.25">
      <c r="A139" s="74" t="s">
        <v>227</v>
      </c>
      <c r="B139" s="50" t="s">
        <v>75</v>
      </c>
      <c r="C139" s="50" t="s">
        <v>96</v>
      </c>
      <c r="D139" s="50" t="s">
        <v>58</v>
      </c>
      <c r="E139" s="50" t="s">
        <v>53</v>
      </c>
      <c r="F139" s="50">
        <v>3000</v>
      </c>
      <c r="G139" s="50">
        <v>2012</v>
      </c>
      <c r="H139" s="50">
        <v>41089</v>
      </c>
      <c r="I139" s="50">
        <v>6056.4</v>
      </c>
      <c r="J139" s="51">
        <v>1090152</v>
      </c>
      <c r="K139" s="51">
        <v>43571</v>
      </c>
      <c r="L139" s="51">
        <f t="shared" si="8"/>
        <v>1133723</v>
      </c>
      <c r="M139" s="50" t="s">
        <v>54</v>
      </c>
      <c r="N139" s="52">
        <v>70.7</v>
      </c>
      <c r="O139" s="75">
        <f t="shared" si="9"/>
        <v>27.591885906203608</v>
      </c>
    </row>
    <row r="140" spans="1:15" ht="15" customHeight="1" x14ac:dyDescent="0.25">
      <c r="A140" s="74" t="s">
        <v>228</v>
      </c>
      <c r="B140" s="50" t="s">
        <v>113</v>
      </c>
      <c r="C140" s="50" t="s">
        <v>62</v>
      </c>
      <c r="D140" s="50" t="s">
        <v>52</v>
      </c>
      <c r="E140" s="50" t="s">
        <v>53</v>
      </c>
      <c r="F140" s="50">
        <v>3000</v>
      </c>
      <c r="G140" s="50">
        <v>2022</v>
      </c>
      <c r="H140" s="50">
        <v>74673</v>
      </c>
      <c r="I140" s="50">
        <v>8551.2999999999993</v>
      </c>
      <c r="J140" s="51">
        <v>1539234</v>
      </c>
      <c r="K140" s="51">
        <v>26643</v>
      </c>
      <c r="L140" s="51">
        <f t="shared" si="8"/>
        <v>1565877</v>
      </c>
      <c r="M140" s="50" t="s">
        <v>54</v>
      </c>
      <c r="N140" s="52">
        <v>76.400000000000006</v>
      </c>
      <c r="O140" s="75">
        <f t="shared" si="9"/>
        <v>20.969788276887229</v>
      </c>
    </row>
    <row r="141" spans="1:15" ht="15" customHeight="1" x14ac:dyDescent="0.25">
      <c r="A141" s="74" t="s">
        <v>229</v>
      </c>
      <c r="B141" s="50" t="s">
        <v>61</v>
      </c>
      <c r="C141" s="50" t="s">
        <v>119</v>
      </c>
      <c r="D141" s="50" t="s">
        <v>52</v>
      </c>
      <c r="E141" s="50" t="s">
        <v>64</v>
      </c>
      <c r="F141" s="50">
        <v>2500</v>
      </c>
      <c r="G141" s="50">
        <v>2013</v>
      </c>
      <c r="H141" s="50">
        <v>222231</v>
      </c>
      <c r="I141" s="50">
        <v>39655.9</v>
      </c>
      <c r="J141" s="51">
        <v>7732900</v>
      </c>
      <c r="K141" s="51">
        <v>20752</v>
      </c>
      <c r="L141" s="51">
        <f t="shared" si="8"/>
        <v>7753652</v>
      </c>
      <c r="M141" s="50" t="s">
        <v>54</v>
      </c>
      <c r="N141" s="52">
        <v>95.1</v>
      </c>
      <c r="O141" s="75">
        <f t="shared" si="9"/>
        <v>34.890055842794212</v>
      </c>
    </row>
    <row r="142" spans="1:15" ht="15" customHeight="1" x14ac:dyDescent="0.25">
      <c r="A142" s="74" t="s">
        <v>230</v>
      </c>
      <c r="B142" s="50" t="s">
        <v>98</v>
      </c>
      <c r="C142" s="50" t="s">
        <v>72</v>
      </c>
      <c r="D142" s="50" t="s">
        <v>52</v>
      </c>
      <c r="E142" s="50" t="s">
        <v>64</v>
      </c>
      <c r="F142" s="50">
        <v>3500</v>
      </c>
      <c r="G142" s="50">
        <v>2015</v>
      </c>
      <c r="H142" s="50">
        <v>77906</v>
      </c>
      <c r="I142" s="50">
        <v>6292.7</v>
      </c>
      <c r="J142" s="51">
        <v>1227076</v>
      </c>
      <c r="K142" s="51">
        <v>93436</v>
      </c>
      <c r="L142" s="51">
        <f t="shared" si="8"/>
        <v>1320512</v>
      </c>
      <c r="M142" s="50" t="s">
        <v>54</v>
      </c>
      <c r="N142" s="52">
        <v>65.2</v>
      </c>
      <c r="O142" s="75">
        <f t="shared" si="9"/>
        <v>16.950068030703669</v>
      </c>
    </row>
    <row r="143" spans="1:15" ht="15" customHeight="1" x14ac:dyDescent="0.25">
      <c r="A143" s="74" t="s">
        <v>231</v>
      </c>
      <c r="B143" s="50" t="s">
        <v>79</v>
      </c>
      <c r="C143" s="50" t="s">
        <v>99</v>
      </c>
      <c r="D143" s="50" t="s">
        <v>89</v>
      </c>
      <c r="E143" s="50" t="s">
        <v>53</v>
      </c>
      <c r="F143" s="50">
        <v>5000</v>
      </c>
      <c r="G143" s="50">
        <v>2022</v>
      </c>
      <c r="H143" s="50">
        <v>200685</v>
      </c>
      <c r="I143" s="50">
        <v>17501.2</v>
      </c>
      <c r="J143" s="51">
        <v>3150216</v>
      </c>
      <c r="K143" s="51">
        <v>105485</v>
      </c>
      <c r="L143" s="51">
        <f t="shared" si="8"/>
        <v>3255701</v>
      </c>
      <c r="M143" s="50" t="s">
        <v>54</v>
      </c>
      <c r="N143" s="52">
        <v>46</v>
      </c>
      <c r="O143" s="75">
        <f t="shared" si="9"/>
        <v>16.222941425617261</v>
      </c>
    </row>
    <row r="144" spans="1:15" ht="15" customHeight="1" x14ac:dyDescent="0.25">
      <c r="A144" s="74" t="s">
        <v>232</v>
      </c>
      <c r="B144" s="50" t="s">
        <v>50</v>
      </c>
      <c r="C144" s="50" t="s">
        <v>80</v>
      </c>
      <c r="D144" s="50" t="s">
        <v>52</v>
      </c>
      <c r="E144" s="50" t="s">
        <v>53</v>
      </c>
      <c r="F144" s="50">
        <v>4500</v>
      </c>
      <c r="G144" s="50">
        <v>2016</v>
      </c>
      <c r="H144" s="50">
        <v>227034</v>
      </c>
      <c r="I144" s="50">
        <v>34270.800000000003</v>
      </c>
      <c r="J144" s="51">
        <v>6168744</v>
      </c>
      <c r="K144" s="51">
        <v>58858</v>
      </c>
      <c r="L144" s="51">
        <f t="shared" si="8"/>
        <v>6227602</v>
      </c>
      <c r="M144" s="50" t="s">
        <v>54</v>
      </c>
      <c r="N144" s="52">
        <v>46.1</v>
      </c>
      <c r="O144" s="75">
        <f t="shared" si="9"/>
        <v>27.430261546728683</v>
      </c>
    </row>
    <row r="145" spans="1:15" ht="15" customHeight="1" x14ac:dyDescent="0.25">
      <c r="A145" s="74" t="s">
        <v>233</v>
      </c>
      <c r="B145" s="50" t="s">
        <v>67</v>
      </c>
      <c r="C145" s="50" t="s">
        <v>103</v>
      </c>
      <c r="D145" s="50" t="s">
        <v>89</v>
      </c>
      <c r="E145" s="50" t="s">
        <v>53</v>
      </c>
      <c r="F145" s="50">
        <v>4000</v>
      </c>
      <c r="G145" s="50">
        <v>2021</v>
      </c>
      <c r="H145" s="50">
        <v>204715</v>
      </c>
      <c r="I145" s="50">
        <v>18181.400000000001</v>
      </c>
      <c r="J145" s="51">
        <v>3272652</v>
      </c>
      <c r="K145" s="51">
        <v>103671</v>
      </c>
      <c r="L145" s="51">
        <f t="shared" si="8"/>
        <v>3376323</v>
      </c>
      <c r="M145" s="50" t="s">
        <v>54</v>
      </c>
      <c r="N145" s="52">
        <v>76.2</v>
      </c>
      <c r="O145" s="75">
        <f t="shared" si="9"/>
        <v>16.492797303568377</v>
      </c>
    </row>
    <row r="146" spans="1:15" ht="15" customHeight="1" x14ac:dyDescent="0.25">
      <c r="A146" s="74" t="s">
        <v>234</v>
      </c>
      <c r="B146" s="50" t="s">
        <v>61</v>
      </c>
      <c r="C146" s="50" t="s">
        <v>96</v>
      </c>
      <c r="D146" s="50" t="s">
        <v>94</v>
      </c>
      <c r="E146" s="50" t="s">
        <v>64</v>
      </c>
      <c r="F146" s="50">
        <v>3500</v>
      </c>
      <c r="G146" s="50">
        <v>2021</v>
      </c>
      <c r="H146" s="50">
        <v>193002</v>
      </c>
      <c r="I146" s="50">
        <v>19716.5</v>
      </c>
      <c r="J146" s="51">
        <v>3844718</v>
      </c>
      <c r="K146" s="51">
        <v>96807</v>
      </c>
      <c r="L146" s="51">
        <f t="shared" si="8"/>
        <v>3941525</v>
      </c>
      <c r="M146" s="50" t="s">
        <v>54</v>
      </c>
      <c r="N146" s="52">
        <v>78.599999999999994</v>
      </c>
      <c r="O146" s="75">
        <f t="shared" si="9"/>
        <v>20.422197697433187</v>
      </c>
    </row>
    <row r="147" spans="1:15" ht="15" customHeight="1" x14ac:dyDescent="0.25">
      <c r="A147" s="74" t="s">
        <v>235</v>
      </c>
      <c r="B147" s="50" t="s">
        <v>61</v>
      </c>
      <c r="C147" s="50" t="s">
        <v>99</v>
      </c>
      <c r="D147" s="50" t="s">
        <v>63</v>
      </c>
      <c r="E147" s="50" t="s">
        <v>64</v>
      </c>
      <c r="F147" s="50">
        <v>3500</v>
      </c>
      <c r="G147" s="50">
        <v>2015</v>
      </c>
      <c r="H147" s="50">
        <v>92432</v>
      </c>
      <c r="I147" s="50">
        <v>9578.4</v>
      </c>
      <c r="J147" s="51">
        <v>1867788</v>
      </c>
      <c r="K147" s="51">
        <v>30377</v>
      </c>
      <c r="L147" s="51">
        <f t="shared" si="8"/>
        <v>1898165</v>
      </c>
      <c r="M147" s="50" t="s">
        <v>54</v>
      </c>
      <c r="N147" s="52">
        <v>76.900000000000006</v>
      </c>
      <c r="O147" s="75">
        <f t="shared" si="9"/>
        <v>20.535799290289077</v>
      </c>
    </row>
    <row r="148" spans="1:15" ht="15" customHeight="1" x14ac:dyDescent="0.25">
      <c r="A148" s="74" t="s">
        <v>236</v>
      </c>
      <c r="B148" s="50" t="s">
        <v>50</v>
      </c>
      <c r="C148" s="50" t="s">
        <v>103</v>
      </c>
      <c r="D148" s="50" t="s">
        <v>94</v>
      </c>
      <c r="E148" s="50" t="s">
        <v>53</v>
      </c>
      <c r="F148" s="50">
        <v>4000</v>
      </c>
      <c r="G148" s="50">
        <v>2022</v>
      </c>
      <c r="H148" s="50">
        <v>250355</v>
      </c>
      <c r="I148" s="50">
        <v>37080.9</v>
      </c>
      <c r="J148" s="51">
        <v>6674562</v>
      </c>
      <c r="K148" s="51">
        <v>107615</v>
      </c>
      <c r="L148" s="51">
        <f t="shared" si="8"/>
        <v>6782177</v>
      </c>
      <c r="M148" s="50" t="s">
        <v>54</v>
      </c>
      <c r="N148" s="52">
        <v>97.3</v>
      </c>
      <c r="O148" s="75">
        <f t="shared" si="9"/>
        <v>27.090239859399652</v>
      </c>
    </row>
    <row r="149" spans="1:15" ht="15" customHeight="1" x14ac:dyDescent="0.25">
      <c r="A149" s="74" t="s">
        <v>237</v>
      </c>
      <c r="B149" s="50" t="s">
        <v>67</v>
      </c>
      <c r="C149" s="50" t="s">
        <v>80</v>
      </c>
      <c r="D149" s="50" t="s">
        <v>52</v>
      </c>
      <c r="E149" s="50" t="s">
        <v>53</v>
      </c>
      <c r="F149" s="50">
        <v>3000</v>
      </c>
      <c r="G149" s="50">
        <v>2017</v>
      </c>
      <c r="H149" s="50">
        <v>50801</v>
      </c>
      <c r="I149" s="50">
        <v>6446.2</v>
      </c>
      <c r="J149" s="51">
        <v>1160316</v>
      </c>
      <c r="K149" s="51">
        <v>81295</v>
      </c>
      <c r="L149" s="51">
        <f t="shared" si="8"/>
        <v>1241611</v>
      </c>
      <c r="M149" s="50" t="s">
        <v>54</v>
      </c>
      <c r="N149" s="52">
        <v>76.3</v>
      </c>
      <c r="O149" s="75">
        <f t="shared" si="9"/>
        <v>24.440680301568868</v>
      </c>
    </row>
    <row r="150" spans="1:15" ht="15" customHeight="1" x14ac:dyDescent="0.25">
      <c r="A150" s="74" t="s">
        <v>238</v>
      </c>
      <c r="B150" s="50" t="s">
        <v>67</v>
      </c>
      <c r="C150" s="50" t="s">
        <v>99</v>
      </c>
      <c r="D150" s="50" t="s">
        <v>58</v>
      </c>
      <c r="E150" s="50" t="s">
        <v>53</v>
      </c>
      <c r="F150" s="50">
        <v>3500</v>
      </c>
      <c r="G150" s="50">
        <v>2017</v>
      </c>
      <c r="H150" s="50">
        <v>251933</v>
      </c>
      <c r="I150" s="50">
        <v>21102.1</v>
      </c>
      <c r="J150" s="51">
        <v>3798378</v>
      </c>
      <c r="K150" s="51">
        <v>53717</v>
      </c>
      <c r="L150" s="51">
        <f t="shared" si="8"/>
        <v>3852095</v>
      </c>
      <c r="M150" s="50" t="s">
        <v>54</v>
      </c>
      <c r="N150" s="52">
        <v>79.2</v>
      </c>
      <c r="O150" s="75">
        <f t="shared" si="9"/>
        <v>15.290156509865719</v>
      </c>
    </row>
    <row r="151" spans="1:15" ht="15" customHeight="1" x14ac:dyDescent="0.25">
      <c r="A151" s="74" t="s">
        <v>239</v>
      </c>
      <c r="B151" s="50" t="s">
        <v>50</v>
      </c>
      <c r="C151" s="50" t="s">
        <v>93</v>
      </c>
      <c r="D151" s="50" t="s">
        <v>89</v>
      </c>
      <c r="E151" s="50" t="s">
        <v>53</v>
      </c>
      <c r="F151" s="50">
        <v>4500</v>
      </c>
      <c r="G151" s="50">
        <v>2016</v>
      </c>
      <c r="H151" s="50">
        <v>257594</v>
      </c>
      <c r="I151" s="50">
        <v>35556.5</v>
      </c>
      <c r="J151" s="51">
        <v>6400170</v>
      </c>
      <c r="K151" s="51">
        <v>115194</v>
      </c>
      <c r="L151" s="51">
        <f t="shared" si="8"/>
        <v>6515364</v>
      </c>
      <c r="M151" s="50" t="s">
        <v>54</v>
      </c>
      <c r="N151" s="52">
        <v>47.2</v>
      </c>
      <c r="O151" s="75">
        <f t="shared" si="9"/>
        <v>25.293151237994675</v>
      </c>
    </row>
    <row r="152" spans="1:15" ht="15" customHeight="1" x14ac:dyDescent="0.25">
      <c r="A152" s="74" t="s">
        <v>240</v>
      </c>
      <c r="B152" s="50" t="s">
        <v>75</v>
      </c>
      <c r="C152" s="50" t="s">
        <v>119</v>
      </c>
      <c r="D152" s="50" t="s">
        <v>63</v>
      </c>
      <c r="E152" s="50" t="s">
        <v>53</v>
      </c>
      <c r="F152" s="50">
        <v>3500</v>
      </c>
      <c r="G152" s="50">
        <v>2019</v>
      </c>
      <c r="H152" s="50">
        <v>264366</v>
      </c>
      <c r="I152" s="50">
        <v>34403.699999999997</v>
      </c>
      <c r="J152" s="51">
        <v>6192666</v>
      </c>
      <c r="K152" s="51">
        <v>115561</v>
      </c>
      <c r="L152" s="51">
        <f t="shared" si="8"/>
        <v>6308227</v>
      </c>
      <c r="M152" s="50" t="s">
        <v>54</v>
      </c>
      <c r="N152" s="52">
        <v>88</v>
      </c>
      <c r="O152" s="75">
        <f t="shared" si="9"/>
        <v>23.861718223977366</v>
      </c>
    </row>
    <row r="153" spans="1:15" ht="15" customHeight="1" x14ac:dyDescent="0.25">
      <c r="A153" s="74" t="s">
        <v>241</v>
      </c>
      <c r="B153" s="50" t="s">
        <v>67</v>
      </c>
      <c r="C153" s="50" t="s">
        <v>83</v>
      </c>
      <c r="D153" s="50" t="s">
        <v>58</v>
      </c>
      <c r="E153" s="50" t="s">
        <v>53</v>
      </c>
      <c r="F153" s="50">
        <v>4500</v>
      </c>
      <c r="G153" s="50">
        <v>2020</v>
      </c>
      <c r="H153" s="50">
        <v>105470</v>
      </c>
      <c r="I153" s="50">
        <v>8850.4</v>
      </c>
      <c r="J153" s="51">
        <v>1593072</v>
      </c>
      <c r="K153" s="51">
        <v>89300</v>
      </c>
      <c r="L153" s="51">
        <f t="shared" si="8"/>
        <v>1682372</v>
      </c>
      <c r="M153" s="50" t="s">
        <v>65</v>
      </c>
      <c r="N153" s="52">
        <v>21</v>
      </c>
      <c r="O153" s="75">
        <f t="shared" si="9"/>
        <v>15.951189911823267</v>
      </c>
    </row>
    <row r="154" spans="1:15" ht="15" customHeight="1" x14ac:dyDescent="0.25">
      <c r="A154" s="74" t="s">
        <v>242</v>
      </c>
      <c r="B154" s="50" t="s">
        <v>75</v>
      </c>
      <c r="C154" s="50" t="s">
        <v>103</v>
      </c>
      <c r="D154" s="50" t="s">
        <v>52</v>
      </c>
      <c r="E154" s="50" t="s">
        <v>53</v>
      </c>
      <c r="F154" s="50">
        <v>3500</v>
      </c>
      <c r="G154" s="50">
        <v>2014</v>
      </c>
      <c r="H154" s="50">
        <v>218117</v>
      </c>
      <c r="I154" s="50">
        <v>26365.3</v>
      </c>
      <c r="J154" s="51">
        <v>4745754</v>
      </c>
      <c r="K154" s="51">
        <v>50529</v>
      </c>
      <c r="L154" s="51">
        <f t="shared" si="8"/>
        <v>4796283</v>
      </c>
      <c r="M154" s="50" t="s">
        <v>54</v>
      </c>
      <c r="N154" s="52">
        <v>86.8</v>
      </c>
      <c r="O154" s="75">
        <f t="shared" si="9"/>
        <v>21.989496462907521</v>
      </c>
    </row>
    <row r="155" spans="1:15" ht="15" customHeight="1" x14ac:dyDescent="0.25">
      <c r="A155" s="74" t="s">
        <v>243</v>
      </c>
      <c r="B155" s="50" t="s">
        <v>67</v>
      </c>
      <c r="C155" s="50" t="s">
        <v>96</v>
      </c>
      <c r="D155" s="50" t="s">
        <v>52</v>
      </c>
      <c r="E155" s="50" t="s">
        <v>53</v>
      </c>
      <c r="F155" s="50">
        <v>2500</v>
      </c>
      <c r="G155" s="50">
        <v>2018</v>
      </c>
      <c r="H155" s="50">
        <v>217670</v>
      </c>
      <c r="I155" s="50">
        <v>23598.6</v>
      </c>
      <c r="J155" s="51">
        <v>4247748</v>
      </c>
      <c r="K155" s="51">
        <v>90992</v>
      </c>
      <c r="L155" s="51">
        <f t="shared" si="8"/>
        <v>4338740</v>
      </c>
      <c r="M155" s="50" t="s">
        <v>54</v>
      </c>
      <c r="N155" s="52">
        <v>93</v>
      </c>
      <c r="O155" s="75">
        <f t="shared" si="9"/>
        <v>19.932650342261223</v>
      </c>
    </row>
    <row r="156" spans="1:15" ht="15" customHeight="1" x14ac:dyDescent="0.25">
      <c r="A156" s="74" t="s">
        <v>244</v>
      </c>
      <c r="B156" s="50" t="s">
        <v>98</v>
      </c>
      <c r="C156" s="50" t="s">
        <v>131</v>
      </c>
      <c r="D156" s="50" t="s">
        <v>58</v>
      </c>
      <c r="E156" s="50" t="s">
        <v>64</v>
      </c>
      <c r="F156" s="50">
        <v>4500</v>
      </c>
      <c r="G156" s="50">
        <v>2020</v>
      </c>
      <c r="H156" s="50">
        <v>89149</v>
      </c>
      <c r="I156" s="50">
        <v>15304.6</v>
      </c>
      <c r="J156" s="51">
        <v>2984397</v>
      </c>
      <c r="K156" s="51">
        <v>47574</v>
      </c>
      <c r="L156" s="51">
        <f t="shared" si="8"/>
        <v>3031971</v>
      </c>
      <c r="M156" s="50" t="s">
        <v>54</v>
      </c>
      <c r="N156" s="52">
        <v>80.099999999999994</v>
      </c>
      <c r="O156" s="75">
        <f t="shared" si="9"/>
        <v>34.010151544044241</v>
      </c>
    </row>
    <row r="157" spans="1:15" ht="15" customHeight="1" x14ac:dyDescent="0.25">
      <c r="A157" s="74" t="s">
        <v>245</v>
      </c>
      <c r="B157" s="50" t="s">
        <v>98</v>
      </c>
      <c r="C157" s="50" t="s">
        <v>93</v>
      </c>
      <c r="D157" s="50" t="s">
        <v>58</v>
      </c>
      <c r="E157" s="50" t="s">
        <v>64</v>
      </c>
      <c r="F157" s="50">
        <v>3500</v>
      </c>
      <c r="G157" s="50">
        <v>2018</v>
      </c>
      <c r="H157" s="50">
        <v>212488</v>
      </c>
      <c r="I157" s="50">
        <v>30672.5</v>
      </c>
      <c r="J157" s="51">
        <v>5981138</v>
      </c>
      <c r="K157" s="51">
        <v>49490</v>
      </c>
      <c r="L157" s="51">
        <f t="shared" si="8"/>
        <v>6030628</v>
      </c>
      <c r="M157" s="50" t="s">
        <v>54</v>
      </c>
      <c r="N157" s="52">
        <v>82.3</v>
      </c>
      <c r="O157" s="75">
        <f t="shared" si="9"/>
        <v>28.381028575731335</v>
      </c>
    </row>
    <row r="158" spans="1:15" ht="15" customHeight="1" x14ac:dyDescent="0.25">
      <c r="A158" s="74" t="s">
        <v>246</v>
      </c>
      <c r="B158" s="50" t="s">
        <v>61</v>
      </c>
      <c r="C158" s="50" t="s">
        <v>96</v>
      </c>
      <c r="D158" s="50" t="s">
        <v>94</v>
      </c>
      <c r="E158" s="50" t="s">
        <v>64</v>
      </c>
      <c r="F158" s="50">
        <v>4500</v>
      </c>
      <c r="G158" s="50">
        <v>2015</v>
      </c>
      <c r="H158" s="50">
        <v>24558</v>
      </c>
      <c r="I158" s="50">
        <v>2855.1</v>
      </c>
      <c r="J158" s="51">
        <v>556744</v>
      </c>
      <c r="K158" s="51">
        <v>33928</v>
      </c>
      <c r="L158" s="51">
        <f t="shared" si="8"/>
        <v>590672</v>
      </c>
      <c r="M158" s="50" t="s">
        <v>54</v>
      </c>
      <c r="N158" s="52">
        <v>95.2</v>
      </c>
      <c r="O158" s="75">
        <f t="shared" si="9"/>
        <v>24.052121508266147</v>
      </c>
    </row>
    <row r="159" spans="1:15" ht="15" customHeight="1" x14ac:dyDescent="0.25">
      <c r="A159" s="74" t="s">
        <v>247</v>
      </c>
      <c r="B159" s="50" t="s">
        <v>113</v>
      </c>
      <c r="C159" s="50" t="s">
        <v>86</v>
      </c>
      <c r="D159" s="50" t="s">
        <v>63</v>
      </c>
      <c r="E159" s="50" t="s">
        <v>53</v>
      </c>
      <c r="F159" s="50">
        <v>3000</v>
      </c>
      <c r="G159" s="50">
        <v>2012</v>
      </c>
      <c r="H159" s="50">
        <v>55456</v>
      </c>
      <c r="I159" s="50">
        <v>6076.8</v>
      </c>
      <c r="J159" s="51">
        <v>1093824</v>
      </c>
      <c r="K159" s="51">
        <v>97753</v>
      </c>
      <c r="L159" s="51">
        <f t="shared" si="8"/>
        <v>1191577</v>
      </c>
      <c r="M159" s="50" t="s">
        <v>54</v>
      </c>
      <c r="N159" s="52">
        <v>73.599999999999994</v>
      </c>
      <c r="O159" s="75">
        <f t="shared" si="9"/>
        <v>21.486890507789958</v>
      </c>
    </row>
    <row r="160" spans="1:15" ht="15" customHeight="1" x14ac:dyDescent="0.25">
      <c r="A160" s="74" t="s">
        <v>248</v>
      </c>
      <c r="B160" s="50" t="s">
        <v>61</v>
      </c>
      <c r="C160" s="50" t="s">
        <v>51</v>
      </c>
      <c r="D160" s="50" t="s">
        <v>52</v>
      </c>
      <c r="E160" s="50" t="s">
        <v>64</v>
      </c>
      <c r="F160" s="50">
        <v>4500</v>
      </c>
      <c r="G160" s="50">
        <v>2012</v>
      </c>
      <c r="H160" s="50">
        <v>212509</v>
      </c>
      <c r="I160" s="50">
        <v>20278.7</v>
      </c>
      <c r="J160" s="51">
        <v>3954346</v>
      </c>
      <c r="K160" s="51">
        <v>33989</v>
      </c>
      <c r="L160" s="51">
        <f t="shared" si="8"/>
        <v>3988335</v>
      </c>
      <c r="M160" s="50" t="s">
        <v>54</v>
      </c>
      <c r="N160" s="52">
        <v>78.099999999999994</v>
      </c>
      <c r="O160" s="75">
        <f t="shared" si="9"/>
        <v>18.767840420876293</v>
      </c>
    </row>
    <row r="161" spans="1:15" ht="15" customHeight="1" x14ac:dyDescent="0.25">
      <c r="A161" s="74" t="s">
        <v>249</v>
      </c>
      <c r="B161" s="50" t="s">
        <v>98</v>
      </c>
      <c r="C161" s="50" t="s">
        <v>83</v>
      </c>
      <c r="D161" s="50" t="s">
        <v>94</v>
      </c>
      <c r="E161" s="50" t="s">
        <v>64</v>
      </c>
      <c r="F161" s="50">
        <v>2500</v>
      </c>
      <c r="G161" s="50">
        <v>2016</v>
      </c>
      <c r="H161" s="50">
        <v>205997</v>
      </c>
      <c r="I161" s="50">
        <v>30412.6</v>
      </c>
      <c r="J161" s="51">
        <v>5930457</v>
      </c>
      <c r="K161" s="51">
        <v>39941</v>
      </c>
      <c r="L161" s="51">
        <f t="shared" si="8"/>
        <v>5970398</v>
      </c>
      <c r="M161" s="50" t="s">
        <v>54</v>
      </c>
      <c r="N161" s="52">
        <v>60.1</v>
      </c>
      <c r="O161" s="75">
        <f t="shared" si="9"/>
        <v>28.982936644708417</v>
      </c>
    </row>
    <row r="162" spans="1:15" ht="15" customHeight="1" x14ac:dyDescent="0.25">
      <c r="A162" s="74" t="s">
        <v>250</v>
      </c>
      <c r="B162" s="50" t="s">
        <v>113</v>
      </c>
      <c r="C162" s="50" t="s">
        <v>86</v>
      </c>
      <c r="D162" s="50" t="s">
        <v>89</v>
      </c>
      <c r="E162" s="50" t="s">
        <v>53</v>
      </c>
      <c r="F162" s="50">
        <v>3000</v>
      </c>
      <c r="G162" s="50">
        <v>2014</v>
      </c>
      <c r="H162" s="50">
        <v>260899</v>
      </c>
      <c r="I162" s="50">
        <v>44456.5</v>
      </c>
      <c r="J162" s="51">
        <v>8002170</v>
      </c>
      <c r="K162" s="51">
        <v>35372</v>
      </c>
      <c r="L162" s="51">
        <f t="shared" ref="L162:L193" si="10">J162+K162</f>
        <v>8037542</v>
      </c>
      <c r="M162" s="50" t="s">
        <v>54</v>
      </c>
      <c r="N162" s="52">
        <v>75.2</v>
      </c>
      <c r="O162" s="75">
        <f t="shared" ref="O162:O193" si="11">IF(H162&gt;0,L162/H162,0)</f>
        <v>30.807101598702946</v>
      </c>
    </row>
    <row r="163" spans="1:15" ht="15" customHeight="1" x14ac:dyDescent="0.25">
      <c r="A163" s="74" t="s">
        <v>251</v>
      </c>
      <c r="B163" s="50" t="s">
        <v>113</v>
      </c>
      <c r="C163" s="50" t="s">
        <v>91</v>
      </c>
      <c r="D163" s="50" t="s">
        <v>52</v>
      </c>
      <c r="E163" s="50" t="s">
        <v>53</v>
      </c>
      <c r="F163" s="50">
        <v>4000</v>
      </c>
      <c r="G163" s="50">
        <v>2018</v>
      </c>
      <c r="H163" s="50">
        <v>234498</v>
      </c>
      <c r="I163" s="50">
        <v>41418.6</v>
      </c>
      <c r="J163" s="51">
        <v>7455348</v>
      </c>
      <c r="K163" s="51">
        <v>100774</v>
      </c>
      <c r="L163" s="51">
        <f t="shared" si="10"/>
        <v>7556122</v>
      </c>
      <c r="M163" s="50" t="s">
        <v>54</v>
      </c>
      <c r="N163" s="52">
        <v>52.3</v>
      </c>
      <c r="O163" s="75">
        <f t="shared" si="11"/>
        <v>32.222543475850543</v>
      </c>
    </row>
    <row r="164" spans="1:15" ht="15" customHeight="1" x14ac:dyDescent="0.25">
      <c r="A164" s="74" t="s">
        <v>252</v>
      </c>
      <c r="B164" s="50" t="s">
        <v>71</v>
      </c>
      <c r="C164" s="50" t="s">
        <v>51</v>
      </c>
      <c r="D164" s="50" t="s">
        <v>94</v>
      </c>
      <c r="E164" s="50" t="s">
        <v>53</v>
      </c>
      <c r="F164" s="50">
        <v>3500</v>
      </c>
      <c r="G164" s="50">
        <v>2018</v>
      </c>
      <c r="H164" s="50">
        <v>68786</v>
      </c>
      <c r="I164" s="50">
        <v>10396.299999999999</v>
      </c>
      <c r="J164" s="51">
        <v>1871334</v>
      </c>
      <c r="K164" s="51">
        <v>69170</v>
      </c>
      <c r="L164" s="51">
        <f t="shared" si="10"/>
        <v>1940504</v>
      </c>
      <c r="M164" s="50" t="s">
        <v>54</v>
      </c>
      <c r="N164" s="52">
        <v>49.4</v>
      </c>
      <c r="O164" s="75">
        <f t="shared" si="11"/>
        <v>28.21074055767162</v>
      </c>
    </row>
    <row r="165" spans="1:15" ht="15" customHeight="1" x14ac:dyDescent="0.25">
      <c r="A165" s="74" t="s">
        <v>253</v>
      </c>
      <c r="B165" s="50" t="s">
        <v>98</v>
      </c>
      <c r="C165" s="50" t="s">
        <v>68</v>
      </c>
      <c r="D165" s="50" t="s">
        <v>94</v>
      </c>
      <c r="E165" s="50" t="s">
        <v>64</v>
      </c>
      <c r="F165" s="50">
        <v>4500</v>
      </c>
      <c r="G165" s="50">
        <v>2012</v>
      </c>
      <c r="H165" s="50">
        <v>244361</v>
      </c>
      <c r="I165" s="50">
        <v>21790</v>
      </c>
      <c r="J165" s="51">
        <v>4249050</v>
      </c>
      <c r="K165" s="51">
        <v>110603</v>
      </c>
      <c r="L165" s="51">
        <f t="shared" si="10"/>
        <v>4359653</v>
      </c>
      <c r="M165" s="50" t="s">
        <v>54</v>
      </c>
      <c r="N165" s="52">
        <v>91.9</v>
      </c>
      <c r="O165" s="75">
        <f t="shared" si="11"/>
        <v>17.84103437127856</v>
      </c>
    </row>
    <row r="166" spans="1:15" ht="15" customHeight="1" x14ac:dyDescent="0.25">
      <c r="A166" s="74" t="s">
        <v>254</v>
      </c>
      <c r="B166" s="50" t="s">
        <v>107</v>
      </c>
      <c r="C166" s="50" t="s">
        <v>62</v>
      </c>
      <c r="D166" s="50" t="s">
        <v>58</v>
      </c>
      <c r="E166" s="50" t="s">
        <v>53</v>
      </c>
      <c r="F166" s="50">
        <v>4000</v>
      </c>
      <c r="G166" s="50">
        <v>2018</v>
      </c>
      <c r="H166" s="50">
        <v>211063</v>
      </c>
      <c r="I166" s="50">
        <v>21861.4</v>
      </c>
      <c r="J166" s="51">
        <v>3935052</v>
      </c>
      <c r="K166" s="51">
        <v>119425</v>
      </c>
      <c r="L166" s="51">
        <f t="shared" si="10"/>
        <v>4054477</v>
      </c>
      <c r="M166" s="50" t="s">
        <v>54</v>
      </c>
      <c r="N166" s="52">
        <v>46.5</v>
      </c>
      <c r="O166" s="75">
        <f t="shared" si="11"/>
        <v>19.209795179638306</v>
      </c>
    </row>
    <row r="167" spans="1:15" ht="15" customHeight="1" x14ac:dyDescent="0.25">
      <c r="A167" s="74" t="s">
        <v>255</v>
      </c>
      <c r="B167" s="50" t="s">
        <v>50</v>
      </c>
      <c r="C167" s="50" t="s">
        <v>80</v>
      </c>
      <c r="D167" s="50" t="s">
        <v>52</v>
      </c>
      <c r="E167" s="50" t="s">
        <v>53</v>
      </c>
      <c r="F167" s="50">
        <v>3000</v>
      </c>
      <c r="G167" s="50">
        <v>2012</v>
      </c>
      <c r="H167" s="50">
        <v>35081</v>
      </c>
      <c r="I167" s="50">
        <v>3812.9</v>
      </c>
      <c r="J167" s="51">
        <v>686322</v>
      </c>
      <c r="K167" s="51">
        <v>102125</v>
      </c>
      <c r="L167" s="51">
        <f t="shared" si="10"/>
        <v>788447</v>
      </c>
      <c r="M167" s="50" t="s">
        <v>54</v>
      </c>
      <c r="N167" s="52">
        <v>52.4</v>
      </c>
      <c r="O167" s="75">
        <f t="shared" si="11"/>
        <v>22.475043470824662</v>
      </c>
    </row>
    <row r="168" spans="1:15" ht="15" customHeight="1" x14ac:dyDescent="0.25">
      <c r="A168" s="74" t="s">
        <v>256</v>
      </c>
      <c r="B168" s="50" t="s">
        <v>113</v>
      </c>
      <c r="C168" s="50" t="s">
        <v>91</v>
      </c>
      <c r="D168" s="50" t="s">
        <v>89</v>
      </c>
      <c r="E168" s="50" t="s">
        <v>53</v>
      </c>
      <c r="F168" s="50">
        <v>2500</v>
      </c>
      <c r="G168" s="50">
        <v>2011</v>
      </c>
      <c r="H168" s="50">
        <v>24963</v>
      </c>
      <c r="I168" s="50">
        <v>2635.9</v>
      </c>
      <c r="J168" s="51">
        <v>474462</v>
      </c>
      <c r="K168" s="51">
        <v>102671</v>
      </c>
      <c r="L168" s="51">
        <f t="shared" si="10"/>
        <v>577133</v>
      </c>
      <c r="M168" s="50" t="s">
        <v>54</v>
      </c>
      <c r="N168" s="52">
        <v>83.5</v>
      </c>
      <c r="O168" s="75">
        <f t="shared" si="11"/>
        <v>23.11953691463366</v>
      </c>
    </row>
    <row r="169" spans="1:15" ht="15" customHeight="1" x14ac:dyDescent="0.25">
      <c r="A169" s="74" t="s">
        <v>257</v>
      </c>
      <c r="B169" s="50" t="s">
        <v>61</v>
      </c>
      <c r="C169" s="50" t="s">
        <v>62</v>
      </c>
      <c r="D169" s="50" t="s">
        <v>58</v>
      </c>
      <c r="E169" s="50" t="s">
        <v>64</v>
      </c>
      <c r="F169" s="50">
        <v>3500</v>
      </c>
      <c r="G169" s="50">
        <v>2013</v>
      </c>
      <c r="H169" s="50">
        <v>172889</v>
      </c>
      <c r="I169" s="50">
        <v>15937.7</v>
      </c>
      <c r="J169" s="51">
        <v>3107852</v>
      </c>
      <c r="K169" s="51">
        <v>40036</v>
      </c>
      <c r="L169" s="51">
        <f t="shared" si="10"/>
        <v>3147888</v>
      </c>
      <c r="M169" s="50" t="s">
        <v>54</v>
      </c>
      <c r="N169" s="52">
        <v>78</v>
      </c>
      <c r="O169" s="75">
        <f t="shared" si="11"/>
        <v>18.207566704648649</v>
      </c>
    </row>
    <row r="170" spans="1:15" ht="15" customHeight="1" x14ac:dyDescent="0.25">
      <c r="A170" s="74" t="s">
        <v>258</v>
      </c>
      <c r="B170" s="50" t="s">
        <v>50</v>
      </c>
      <c r="C170" s="50" t="s">
        <v>96</v>
      </c>
      <c r="D170" s="50" t="s">
        <v>94</v>
      </c>
      <c r="E170" s="50" t="s">
        <v>53</v>
      </c>
      <c r="F170" s="50">
        <v>4500</v>
      </c>
      <c r="G170" s="50">
        <v>2018</v>
      </c>
      <c r="H170" s="50">
        <v>23616</v>
      </c>
      <c r="I170" s="50">
        <v>3381.7</v>
      </c>
      <c r="J170" s="51">
        <v>608706</v>
      </c>
      <c r="K170" s="51">
        <v>75380</v>
      </c>
      <c r="L170" s="51">
        <f t="shared" si="10"/>
        <v>684086</v>
      </c>
      <c r="M170" s="50" t="s">
        <v>54</v>
      </c>
      <c r="N170" s="52">
        <v>60.4</v>
      </c>
      <c r="O170" s="75">
        <f t="shared" si="11"/>
        <v>28.96705623306233</v>
      </c>
    </row>
    <row r="171" spans="1:15" ht="15" customHeight="1" x14ac:dyDescent="0.25">
      <c r="A171" s="74" t="s">
        <v>259</v>
      </c>
      <c r="B171" s="50" t="s">
        <v>107</v>
      </c>
      <c r="C171" s="50" t="s">
        <v>93</v>
      </c>
      <c r="D171" s="50" t="s">
        <v>52</v>
      </c>
      <c r="E171" s="50" t="s">
        <v>53</v>
      </c>
      <c r="F171" s="50">
        <v>3000</v>
      </c>
      <c r="G171" s="50">
        <v>2019</v>
      </c>
      <c r="H171" s="50">
        <v>233401</v>
      </c>
      <c r="I171" s="50">
        <v>23044</v>
      </c>
      <c r="J171" s="51">
        <v>4147920</v>
      </c>
      <c r="K171" s="51">
        <v>85163</v>
      </c>
      <c r="L171" s="51">
        <f t="shared" si="10"/>
        <v>4233083</v>
      </c>
      <c r="M171" s="50" t="s">
        <v>54</v>
      </c>
      <c r="N171" s="52">
        <v>64.099999999999994</v>
      </c>
      <c r="O171" s="75">
        <f t="shared" si="11"/>
        <v>18.136524693553156</v>
      </c>
    </row>
    <row r="172" spans="1:15" ht="15" customHeight="1" x14ac:dyDescent="0.25">
      <c r="A172" s="74" t="s">
        <v>260</v>
      </c>
      <c r="B172" s="50" t="s">
        <v>61</v>
      </c>
      <c r="C172" s="50" t="s">
        <v>99</v>
      </c>
      <c r="D172" s="50" t="s">
        <v>89</v>
      </c>
      <c r="E172" s="50" t="s">
        <v>64</v>
      </c>
      <c r="F172" s="50">
        <v>4500</v>
      </c>
      <c r="G172" s="50">
        <v>2018</v>
      </c>
      <c r="H172" s="50">
        <v>25661</v>
      </c>
      <c r="I172" s="50">
        <v>3054.8</v>
      </c>
      <c r="J172" s="51">
        <v>595686</v>
      </c>
      <c r="K172" s="51">
        <v>64364</v>
      </c>
      <c r="L172" s="51">
        <f t="shared" si="10"/>
        <v>660050</v>
      </c>
      <c r="M172" s="50" t="s">
        <v>54</v>
      </c>
      <c r="N172" s="52">
        <v>97</v>
      </c>
      <c r="O172" s="75">
        <f t="shared" si="11"/>
        <v>25.721912630061183</v>
      </c>
    </row>
    <row r="173" spans="1:15" ht="15" customHeight="1" x14ac:dyDescent="0.25">
      <c r="A173" s="74" t="s">
        <v>261</v>
      </c>
      <c r="B173" s="50" t="s">
        <v>71</v>
      </c>
      <c r="C173" s="50" t="s">
        <v>83</v>
      </c>
      <c r="D173" s="50" t="s">
        <v>58</v>
      </c>
      <c r="E173" s="50" t="s">
        <v>53</v>
      </c>
      <c r="F173" s="50">
        <v>3500</v>
      </c>
      <c r="G173" s="50">
        <v>2022</v>
      </c>
      <c r="H173" s="50">
        <v>50420</v>
      </c>
      <c r="I173" s="50">
        <v>5772.1</v>
      </c>
      <c r="J173" s="51">
        <v>1038978</v>
      </c>
      <c r="K173" s="51">
        <v>91959</v>
      </c>
      <c r="L173" s="51">
        <f t="shared" si="10"/>
        <v>1130937</v>
      </c>
      <c r="M173" s="50" t="s">
        <v>54</v>
      </c>
      <c r="N173" s="52">
        <v>85.9</v>
      </c>
      <c r="O173" s="75">
        <f t="shared" si="11"/>
        <v>22.430325267750892</v>
      </c>
    </row>
    <row r="174" spans="1:15" ht="15" customHeight="1" x14ac:dyDescent="0.25">
      <c r="A174" s="74" t="s">
        <v>262</v>
      </c>
      <c r="B174" s="50" t="s">
        <v>67</v>
      </c>
      <c r="C174" s="50" t="s">
        <v>103</v>
      </c>
      <c r="D174" s="50" t="s">
        <v>58</v>
      </c>
      <c r="E174" s="50" t="s">
        <v>53</v>
      </c>
      <c r="F174" s="50">
        <v>3500</v>
      </c>
      <c r="G174" s="50">
        <v>2018</v>
      </c>
      <c r="H174" s="50">
        <v>192496</v>
      </c>
      <c r="I174" s="50">
        <v>31059.4</v>
      </c>
      <c r="J174" s="51">
        <v>5590692</v>
      </c>
      <c r="K174" s="51">
        <v>33384</v>
      </c>
      <c r="L174" s="51">
        <f t="shared" si="10"/>
        <v>5624076</v>
      </c>
      <c r="M174" s="50" t="s">
        <v>54</v>
      </c>
      <c r="N174" s="52">
        <v>69.599999999999994</v>
      </c>
      <c r="O174" s="75">
        <f t="shared" si="11"/>
        <v>29.21658631867675</v>
      </c>
    </row>
    <row r="175" spans="1:15" ht="15" customHeight="1" x14ac:dyDescent="0.25">
      <c r="A175" s="74" t="s">
        <v>263</v>
      </c>
      <c r="B175" s="50" t="s">
        <v>113</v>
      </c>
      <c r="C175" s="50" t="s">
        <v>119</v>
      </c>
      <c r="D175" s="50" t="s">
        <v>63</v>
      </c>
      <c r="E175" s="50" t="s">
        <v>53</v>
      </c>
      <c r="F175" s="50">
        <v>3000</v>
      </c>
      <c r="G175" s="50">
        <v>2011</v>
      </c>
      <c r="H175" s="50">
        <v>254955</v>
      </c>
      <c r="I175" s="50">
        <v>21339.3</v>
      </c>
      <c r="J175" s="51">
        <v>3841074</v>
      </c>
      <c r="K175" s="51">
        <v>36167</v>
      </c>
      <c r="L175" s="51">
        <f t="shared" si="10"/>
        <v>3877241</v>
      </c>
      <c r="M175" s="50" t="s">
        <v>54</v>
      </c>
      <c r="N175" s="52">
        <v>91.9</v>
      </c>
      <c r="O175" s="75">
        <f t="shared" si="11"/>
        <v>15.207550352022906</v>
      </c>
    </row>
    <row r="176" spans="1:15" ht="15" customHeight="1" x14ac:dyDescent="0.25">
      <c r="A176" s="74" t="s">
        <v>264</v>
      </c>
      <c r="B176" s="50" t="s">
        <v>67</v>
      </c>
      <c r="C176" s="50" t="s">
        <v>76</v>
      </c>
      <c r="D176" s="50" t="s">
        <v>52</v>
      </c>
      <c r="E176" s="50" t="s">
        <v>53</v>
      </c>
      <c r="F176" s="50">
        <v>4500</v>
      </c>
      <c r="G176" s="50">
        <v>2016</v>
      </c>
      <c r="H176" s="50">
        <v>263197</v>
      </c>
      <c r="I176" s="50">
        <v>27722.9</v>
      </c>
      <c r="J176" s="51">
        <v>4990122</v>
      </c>
      <c r="K176" s="51">
        <v>94096</v>
      </c>
      <c r="L176" s="51">
        <f t="shared" si="10"/>
        <v>5084218</v>
      </c>
      <c r="M176" s="50" t="s">
        <v>54</v>
      </c>
      <c r="N176" s="52">
        <v>63.9</v>
      </c>
      <c r="O176" s="75">
        <f t="shared" si="11"/>
        <v>19.317157870340466</v>
      </c>
    </row>
    <row r="177" spans="1:15" ht="15" customHeight="1" x14ac:dyDescent="0.25">
      <c r="A177" s="74" t="s">
        <v>265</v>
      </c>
      <c r="B177" s="50" t="s">
        <v>107</v>
      </c>
      <c r="C177" s="50" t="s">
        <v>80</v>
      </c>
      <c r="D177" s="50" t="s">
        <v>52</v>
      </c>
      <c r="E177" s="50" t="s">
        <v>53</v>
      </c>
      <c r="F177" s="50">
        <v>3500</v>
      </c>
      <c r="G177" s="50">
        <v>2011</v>
      </c>
      <c r="H177" s="50">
        <v>207948</v>
      </c>
      <c r="I177" s="50">
        <v>25722.2</v>
      </c>
      <c r="J177" s="51">
        <v>4629996</v>
      </c>
      <c r="K177" s="51">
        <v>57002</v>
      </c>
      <c r="L177" s="51">
        <f t="shared" si="10"/>
        <v>4686998</v>
      </c>
      <c r="M177" s="50" t="s">
        <v>54</v>
      </c>
      <c r="N177" s="52">
        <v>95.7</v>
      </c>
      <c r="O177" s="75">
        <f t="shared" si="11"/>
        <v>22.539279050531864</v>
      </c>
    </row>
    <row r="178" spans="1:15" ht="15" customHeight="1" x14ac:dyDescent="0.25">
      <c r="A178" s="74" t="s">
        <v>266</v>
      </c>
      <c r="B178" s="50" t="s">
        <v>67</v>
      </c>
      <c r="C178" s="50" t="s">
        <v>103</v>
      </c>
      <c r="D178" s="50" t="s">
        <v>94</v>
      </c>
      <c r="E178" s="50" t="s">
        <v>53</v>
      </c>
      <c r="F178" s="50">
        <v>5000</v>
      </c>
      <c r="G178" s="50">
        <v>2017</v>
      </c>
      <c r="H178" s="50">
        <v>207595</v>
      </c>
      <c r="I178" s="50">
        <v>35795.800000000003</v>
      </c>
      <c r="J178" s="51">
        <v>6443244</v>
      </c>
      <c r="K178" s="51">
        <v>69524</v>
      </c>
      <c r="L178" s="51">
        <f t="shared" si="10"/>
        <v>6512768</v>
      </c>
      <c r="M178" s="50" t="s">
        <v>54</v>
      </c>
      <c r="N178" s="52">
        <v>83.5</v>
      </c>
      <c r="O178" s="75">
        <f t="shared" si="11"/>
        <v>31.372470435222429</v>
      </c>
    </row>
    <row r="179" spans="1:15" ht="15" customHeight="1" x14ac:dyDescent="0.25">
      <c r="A179" s="74" t="s">
        <v>267</v>
      </c>
      <c r="B179" s="50" t="s">
        <v>50</v>
      </c>
      <c r="C179" s="50" t="s">
        <v>62</v>
      </c>
      <c r="D179" s="50" t="s">
        <v>89</v>
      </c>
      <c r="E179" s="50" t="s">
        <v>53</v>
      </c>
      <c r="F179" s="50">
        <v>3000</v>
      </c>
      <c r="G179" s="50">
        <v>2018</v>
      </c>
      <c r="H179" s="50">
        <v>169018</v>
      </c>
      <c r="I179" s="50">
        <v>18950.5</v>
      </c>
      <c r="J179" s="51">
        <v>3411090</v>
      </c>
      <c r="K179" s="51">
        <v>23407</v>
      </c>
      <c r="L179" s="51">
        <f t="shared" si="10"/>
        <v>3434497</v>
      </c>
      <c r="M179" s="50" t="s">
        <v>54</v>
      </c>
      <c r="N179" s="52">
        <v>61.2</v>
      </c>
      <c r="O179" s="75">
        <f t="shared" si="11"/>
        <v>20.320303162976725</v>
      </c>
    </row>
    <row r="180" spans="1:15" ht="15" customHeight="1" x14ac:dyDescent="0.25">
      <c r="A180" s="74" t="s">
        <v>268</v>
      </c>
      <c r="B180" s="50" t="s">
        <v>75</v>
      </c>
      <c r="C180" s="50" t="s">
        <v>83</v>
      </c>
      <c r="D180" s="50" t="s">
        <v>94</v>
      </c>
      <c r="E180" s="50" t="s">
        <v>53</v>
      </c>
      <c r="F180" s="50">
        <v>3000</v>
      </c>
      <c r="G180" s="50">
        <v>2021</v>
      </c>
      <c r="H180" s="50">
        <v>247735</v>
      </c>
      <c r="I180" s="50">
        <v>28527.8</v>
      </c>
      <c r="J180" s="51">
        <v>5135004</v>
      </c>
      <c r="K180" s="51">
        <v>19447</v>
      </c>
      <c r="L180" s="51">
        <f t="shared" si="10"/>
        <v>5154451</v>
      </c>
      <c r="M180" s="50" t="s">
        <v>54</v>
      </c>
      <c r="N180" s="52">
        <v>63.7</v>
      </c>
      <c r="O180" s="75">
        <f t="shared" si="11"/>
        <v>20.806309160998648</v>
      </c>
    </row>
    <row r="181" spans="1:15" ht="15" customHeight="1" x14ac:dyDescent="0.25">
      <c r="A181" s="74" t="s">
        <v>269</v>
      </c>
      <c r="B181" s="50" t="s">
        <v>57</v>
      </c>
      <c r="C181" s="50" t="s">
        <v>68</v>
      </c>
      <c r="D181" s="50" t="s">
        <v>58</v>
      </c>
      <c r="E181" s="50" t="s">
        <v>53</v>
      </c>
      <c r="F181" s="50">
        <v>2500</v>
      </c>
      <c r="G181" s="50">
        <v>2020</v>
      </c>
      <c r="H181" s="50">
        <v>227971</v>
      </c>
      <c r="I181" s="50">
        <v>26520.1</v>
      </c>
      <c r="J181" s="51">
        <v>4773618</v>
      </c>
      <c r="K181" s="51">
        <v>99115</v>
      </c>
      <c r="L181" s="51">
        <f t="shared" si="10"/>
        <v>4872733</v>
      </c>
      <c r="M181" s="50" t="s">
        <v>54</v>
      </c>
      <c r="N181" s="52">
        <v>95.5</v>
      </c>
      <c r="O181" s="75">
        <f t="shared" si="11"/>
        <v>21.374354632826105</v>
      </c>
    </row>
    <row r="182" spans="1:15" ht="15" customHeight="1" x14ac:dyDescent="0.25">
      <c r="A182" s="74" t="s">
        <v>270</v>
      </c>
      <c r="B182" s="50" t="s">
        <v>98</v>
      </c>
      <c r="C182" s="50" t="s">
        <v>80</v>
      </c>
      <c r="D182" s="50" t="s">
        <v>89</v>
      </c>
      <c r="E182" s="50" t="s">
        <v>64</v>
      </c>
      <c r="F182" s="50">
        <v>5000</v>
      </c>
      <c r="G182" s="50">
        <v>2022</v>
      </c>
      <c r="H182" s="50">
        <v>244728</v>
      </c>
      <c r="I182" s="50">
        <v>20429.900000000001</v>
      </c>
      <c r="J182" s="51">
        <v>3983831</v>
      </c>
      <c r="K182" s="51">
        <v>22060</v>
      </c>
      <c r="L182" s="51">
        <f t="shared" si="10"/>
        <v>4005891</v>
      </c>
      <c r="M182" s="50" t="s">
        <v>54</v>
      </c>
      <c r="N182" s="52">
        <v>64.400000000000006</v>
      </c>
      <c r="O182" s="75">
        <f t="shared" si="11"/>
        <v>16.368748161223888</v>
      </c>
    </row>
    <row r="183" spans="1:15" ht="15" customHeight="1" x14ac:dyDescent="0.25">
      <c r="A183" s="74" t="s">
        <v>271</v>
      </c>
      <c r="B183" s="50" t="s">
        <v>57</v>
      </c>
      <c r="C183" s="50" t="s">
        <v>93</v>
      </c>
      <c r="D183" s="50" t="s">
        <v>58</v>
      </c>
      <c r="E183" s="50" t="s">
        <v>53</v>
      </c>
      <c r="F183" s="50">
        <v>4500</v>
      </c>
      <c r="G183" s="50">
        <v>2012</v>
      </c>
      <c r="H183" s="50">
        <v>250889</v>
      </c>
      <c r="I183" s="50">
        <v>43876.1</v>
      </c>
      <c r="J183" s="51">
        <v>7897698</v>
      </c>
      <c r="K183" s="51">
        <v>54061</v>
      </c>
      <c r="L183" s="51">
        <f t="shared" si="10"/>
        <v>7951759</v>
      </c>
      <c r="M183" s="50" t="s">
        <v>54</v>
      </c>
      <c r="N183" s="52">
        <v>75.400000000000006</v>
      </c>
      <c r="O183" s="75">
        <f t="shared" si="11"/>
        <v>31.694330959109408</v>
      </c>
    </row>
    <row r="184" spans="1:15" ht="15" customHeight="1" x14ac:dyDescent="0.25">
      <c r="A184" s="74" t="s">
        <v>272</v>
      </c>
      <c r="B184" s="50" t="s">
        <v>61</v>
      </c>
      <c r="C184" s="50" t="s">
        <v>131</v>
      </c>
      <c r="D184" s="50" t="s">
        <v>94</v>
      </c>
      <c r="E184" s="50" t="s">
        <v>64</v>
      </c>
      <c r="F184" s="50">
        <v>3500</v>
      </c>
      <c r="G184" s="50">
        <v>2020</v>
      </c>
      <c r="H184" s="50">
        <v>161113</v>
      </c>
      <c r="I184" s="50">
        <v>16910.599999999999</v>
      </c>
      <c r="J184" s="51">
        <v>3297567</v>
      </c>
      <c r="K184" s="51">
        <v>26912</v>
      </c>
      <c r="L184" s="51">
        <f t="shared" si="10"/>
        <v>3324479</v>
      </c>
      <c r="M184" s="50" t="s">
        <v>54</v>
      </c>
      <c r="N184" s="52">
        <v>71.400000000000006</v>
      </c>
      <c r="O184" s="75">
        <f t="shared" si="11"/>
        <v>20.634455320179004</v>
      </c>
    </row>
    <row r="185" spans="1:15" ht="15" customHeight="1" x14ac:dyDescent="0.25">
      <c r="A185" s="74" t="s">
        <v>273</v>
      </c>
      <c r="B185" s="50" t="s">
        <v>57</v>
      </c>
      <c r="C185" s="50" t="s">
        <v>76</v>
      </c>
      <c r="D185" s="50" t="s">
        <v>89</v>
      </c>
      <c r="E185" s="50" t="s">
        <v>53</v>
      </c>
      <c r="F185" s="50">
        <v>2500</v>
      </c>
      <c r="G185" s="50">
        <v>2014</v>
      </c>
      <c r="H185" s="50">
        <v>151466</v>
      </c>
      <c r="I185" s="50">
        <v>22781.1</v>
      </c>
      <c r="J185" s="51">
        <v>4100598</v>
      </c>
      <c r="K185" s="51">
        <v>37530</v>
      </c>
      <c r="L185" s="51">
        <f t="shared" si="10"/>
        <v>4138128</v>
      </c>
      <c r="M185" s="50" t="s">
        <v>54</v>
      </c>
      <c r="N185" s="52">
        <v>81.8</v>
      </c>
      <c r="O185" s="75">
        <f t="shared" si="11"/>
        <v>27.32050757265657</v>
      </c>
    </row>
    <row r="186" spans="1:15" ht="15" customHeight="1" x14ac:dyDescent="0.25">
      <c r="A186" s="74" t="s">
        <v>274</v>
      </c>
      <c r="B186" s="50" t="s">
        <v>113</v>
      </c>
      <c r="C186" s="50" t="s">
        <v>86</v>
      </c>
      <c r="D186" s="50" t="s">
        <v>58</v>
      </c>
      <c r="E186" s="50" t="s">
        <v>53</v>
      </c>
      <c r="F186" s="50">
        <v>3000</v>
      </c>
      <c r="G186" s="50">
        <v>2011</v>
      </c>
      <c r="H186" s="50">
        <v>252000</v>
      </c>
      <c r="I186" s="50">
        <v>24510.9</v>
      </c>
      <c r="J186" s="51">
        <v>4411962</v>
      </c>
      <c r="K186" s="51">
        <v>89904</v>
      </c>
      <c r="L186" s="51">
        <f t="shared" si="10"/>
        <v>4501866</v>
      </c>
      <c r="M186" s="50" t="s">
        <v>65</v>
      </c>
      <c r="N186" s="52">
        <v>32.4</v>
      </c>
      <c r="O186" s="75">
        <f t="shared" si="11"/>
        <v>17.86454761904762</v>
      </c>
    </row>
    <row r="187" spans="1:15" ht="15" customHeight="1" x14ac:dyDescent="0.25">
      <c r="A187" s="74" t="s">
        <v>275</v>
      </c>
      <c r="B187" s="50" t="s">
        <v>67</v>
      </c>
      <c r="C187" s="50" t="s">
        <v>119</v>
      </c>
      <c r="D187" s="50" t="s">
        <v>52</v>
      </c>
      <c r="E187" s="50" t="s">
        <v>53</v>
      </c>
      <c r="F187" s="50">
        <v>5000</v>
      </c>
      <c r="G187" s="50">
        <v>2011</v>
      </c>
      <c r="H187" s="50">
        <v>167233</v>
      </c>
      <c r="I187" s="50">
        <v>28284.6</v>
      </c>
      <c r="J187" s="51">
        <v>5091228</v>
      </c>
      <c r="K187" s="51">
        <v>104393</v>
      </c>
      <c r="L187" s="51">
        <f t="shared" si="10"/>
        <v>5195621</v>
      </c>
      <c r="M187" s="50" t="s">
        <v>54</v>
      </c>
      <c r="N187" s="52">
        <v>94.1</v>
      </c>
      <c r="O187" s="75">
        <f t="shared" si="11"/>
        <v>31.068156404537383</v>
      </c>
    </row>
    <row r="188" spans="1:15" ht="15" customHeight="1" x14ac:dyDescent="0.25">
      <c r="A188" s="74" t="s">
        <v>276</v>
      </c>
      <c r="B188" s="50" t="s">
        <v>98</v>
      </c>
      <c r="C188" s="50" t="s">
        <v>72</v>
      </c>
      <c r="D188" s="50" t="s">
        <v>52</v>
      </c>
      <c r="E188" s="50" t="s">
        <v>64</v>
      </c>
      <c r="F188" s="50">
        <v>4500</v>
      </c>
      <c r="G188" s="50">
        <v>2013</v>
      </c>
      <c r="H188" s="50">
        <v>78628</v>
      </c>
      <c r="I188" s="50">
        <v>14036.1</v>
      </c>
      <c r="J188" s="51">
        <v>2737040</v>
      </c>
      <c r="K188" s="51">
        <v>98167</v>
      </c>
      <c r="L188" s="51">
        <f t="shared" si="10"/>
        <v>2835207</v>
      </c>
      <c r="M188" s="50" t="s">
        <v>54</v>
      </c>
      <c r="N188" s="52">
        <v>71.2</v>
      </c>
      <c r="O188" s="75">
        <f t="shared" si="11"/>
        <v>36.058490614030624</v>
      </c>
    </row>
    <row r="189" spans="1:15" ht="15" customHeight="1" x14ac:dyDescent="0.25">
      <c r="A189" s="74" t="s">
        <v>277</v>
      </c>
      <c r="B189" s="50" t="s">
        <v>67</v>
      </c>
      <c r="C189" s="50" t="s">
        <v>99</v>
      </c>
      <c r="D189" s="50" t="s">
        <v>89</v>
      </c>
      <c r="E189" s="50" t="s">
        <v>53</v>
      </c>
      <c r="F189" s="50">
        <v>3500</v>
      </c>
      <c r="G189" s="50">
        <v>2017</v>
      </c>
      <c r="H189" s="50">
        <v>83037</v>
      </c>
      <c r="I189" s="50">
        <v>11724.4</v>
      </c>
      <c r="J189" s="51">
        <v>2110392</v>
      </c>
      <c r="K189" s="51">
        <v>24053</v>
      </c>
      <c r="L189" s="51">
        <f t="shared" si="10"/>
        <v>2134445</v>
      </c>
      <c r="M189" s="50" t="s">
        <v>54</v>
      </c>
      <c r="N189" s="52">
        <v>98</v>
      </c>
      <c r="O189" s="75">
        <f t="shared" si="11"/>
        <v>25.70474607704999</v>
      </c>
    </row>
    <row r="190" spans="1:15" ht="15" customHeight="1" x14ac:dyDescent="0.25">
      <c r="A190" s="74" t="s">
        <v>278</v>
      </c>
      <c r="B190" s="50" t="s">
        <v>113</v>
      </c>
      <c r="C190" s="50" t="s">
        <v>99</v>
      </c>
      <c r="D190" s="50" t="s">
        <v>94</v>
      </c>
      <c r="E190" s="50" t="s">
        <v>53</v>
      </c>
      <c r="F190" s="50">
        <v>4000</v>
      </c>
      <c r="G190" s="50">
        <v>2019</v>
      </c>
      <c r="H190" s="50">
        <v>53666</v>
      </c>
      <c r="I190" s="50">
        <v>4965.8999999999996</v>
      </c>
      <c r="J190" s="51">
        <v>893862</v>
      </c>
      <c r="K190" s="51">
        <v>48288</v>
      </c>
      <c r="L190" s="51">
        <f t="shared" si="10"/>
        <v>942150</v>
      </c>
      <c r="M190" s="50" t="s">
        <v>54</v>
      </c>
      <c r="N190" s="52">
        <v>69.7</v>
      </c>
      <c r="O190" s="75">
        <f t="shared" si="11"/>
        <v>17.555808146685052</v>
      </c>
    </row>
    <row r="191" spans="1:15" ht="15" customHeight="1" x14ac:dyDescent="0.25">
      <c r="A191" s="74" t="s">
        <v>279</v>
      </c>
      <c r="B191" s="50" t="s">
        <v>61</v>
      </c>
      <c r="C191" s="50" t="s">
        <v>131</v>
      </c>
      <c r="D191" s="50" t="s">
        <v>63</v>
      </c>
      <c r="E191" s="50" t="s">
        <v>64</v>
      </c>
      <c r="F191" s="50">
        <v>4500</v>
      </c>
      <c r="G191" s="50">
        <v>2020</v>
      </c>
      <c r="H191" s="50">
        <v>110401</v>
      </c>
      <c r="I191" s="50">
        <v>17308.5</v>
      </c>
      <c r="J191" s="51">
        <v>3375158</v>
      </c>
      <c r="K191" s="51">
        <v>28548</v>
      </c>
      <c r="L191" s="51">
        <f t="shared" si="10"/>
        <v>3403706</v>
      </c>
      <c r="M191" s="50" t="s">
        <v>54</v>
      </c>
      <c r="N191" s="52">
        <v>91</v>
      </c>
      <c r="O191" s="75">
        <f t="shared" si="11"/>
        <v>30.830391029066767</v>
      </c>
    </row>
    <row r="192" spans="1:15" ht="15" customHeight="1" x14ac:dyDescent="0.25">
      <c r="A192" s="74" t="s">
        <v>280</v>
      </c>
      <c r="B192" s="50" t="s">
        <v>50</v>
      </c>
      <c r="C192" s="50" t="s">
        <v>99</v>
      </c>
      <c r="D192" s="50" t="s">
        <v>63</v>
      </c>
      <c r="E192" s="50" t="s">
        <v>53</v>
      </c>
      <c r="F192" s="50">
        <v>3500</v>
      </c>
      <c r="G192" s="50">
        <v>2012</v>
      </c>
      <c r="H192" s="50">
        <v>99917</v>
      </c>
      <c r="I192" s="50">
        <v>11217.3</v>
      </c>
      <c r="J192" s="51">
        <v>2019114</v>
      </c>
      <c r="K192" s="51">
        <v>89480</v>
      </c>
      <c r="L192" s="51">
        <f t="shared" si="10"/>
        <v>2108594</v>
      </c>
      <c r="M192" s="50" t="s">
        <v>54</v>
      </c>
      <c r="N192" s="52">
        <v>94.9</v>
      </c>
      <c r="O192" s="75">
        <f t="shared" si="11"/>
        <v>21.103455868370748</v>
      </c>
    </row>
    <row r="193" spans="1:15" ht="15" customHeight="1" x14ac:dyDescent="0.25">
      <c r="A193" s="74" t="s">
        <v>281</v>
      </c>
      <c r="B193" s="50" t="s">
        <v>71</v>
      </c>
      <c r="C193" s="50" t="s">
        <v>80</v>
      </c>
      <c r="D193" s="50" t="s">
        <v>58</v>
      </c>
      <c r="E193" s="50" t="s">
        <v>53</v>
      </c>
      <c r="F193" s="50">
        <v>3500</v>
      </c>
      <c r="G193" s="50">
        <v>2013</v>
      </c>
      <c r="H193" s="50">
        <v>158891</v>
      </c>
      <c r="I193" s="50">
        <v>14700.1</v>
      </c>
      <c r="J193" s="51">
        <v>2646018</v>
      </c>
      <c r="K193" s="51">
        <v>46797</v>
      </c>
      <c r="L193" s="51">
        <f t="shared" si="10"/>
        <v>2692815</v>
      </c>
      <c r="M193" s="50" t="s">
        <v>54</v>
      </c>
      <c r="N193" s="52">
        <v>71.599999999999994</v>
      </c>
      <c r="O193" s="75">
        <f t="shared" si="11"/>
        <v>16.947561535895677</v>
      </c>
    </row>
    <row r="194" spans="1:15" ht="15" customHeight="1" x14ac:dyDescent="0.25">
      <c r="A194" s="74" t="s">
        <v>282</v>
      </c>
      <c r="B194" s="50" t="s">
        <v>98</v>
      </c>
      <c r="C194" s="50" t="s">
        <v>93</v>
      </c>
      <c r="D194" s="50" t="s">
        <v>89</v>
      </c>
      <c r="E194" s="50" t="s">
        <v>64</v>
      </c>
      <c r="F194" s="50">
        <v>3000</v>
      </c>
      <c r="G194" s="50">
        <v>2012</v>
      </c>
      <c r="H194" s="50">
        <v>192009</v>
      </c>
      <c r="I194" s="50">
        <v>31538.1</v>
      </c>
      <c r="J194" s="51">
        <v>6149930</v>
      </c>
      <c r="K194" s="51">
        <v>74180</v>
      </c>
      <c r="L194" s="51">
        <f t="shared" ref="L194:L201" si="12">J194+K194</f>
        <v>6224110</v>
      </c>
      <c r="M194" s="50" t="s">
        <v>54</v>
      </c>
      <c r="N194" s="52">
        <v>46.5</v>
      </c>
      <c r="O194" s="75">
        <f t="shared" ref="O194:O201" si="13">IF(H194&gt;0,L194/H194,0)</f>
        <v>32.415720096453811</v>
      </c>
    </row>
    <row r="195" spans="1:15" ht="15" customHeight="1" x14ac:dyDescent="0.25">
      <c r="A195" s="74" t="s">
        <v>283</v>
      </c>
      <c r="B195" s="50" t="s">
        <v>107</v>
      </c>
      <c r="C195" s="50" t="s">
        <v>119</v>
      </c>
      <c r="D195" s="50" t="s">
        <v>89</v>
      </c>
      <c r="E195" s="50" t="s">
        <v>53</v>
      </c>
      <c r="F195" s="50">
        <v>3500</v>
      </c>
      <c r="G195" s="50">
        <v>2020</v>
      </c>
      <c r="H195" s="50">
        <v>125524</v>
      </c>
      <c r="I195" s="50">
        <v>19669.099999999999</v>
      </c>
      <c r="J195" s="51">
        <v>3540438</v>
      </c>
      <c r="K195" s="51">
        <v>58742</v>
      </c>
      <c r="L195" s="51">
        <f t="shared" si="12"/>
        <v>3599180</v>
      </c>
      <c r="M195" s="50" t="s">
        <v>54</v>
      </c>
      <c r="N195" s="52">
        <v>71.400000000000006</v>
      </c>
      <c r="O195" s="75">
        <f t="shared" si="13"/>
        <v>28.673241770498073</v>
      </c>
    </row>
    <row r="196" spans="1:15" ht="15" customHeight="1" x14ac:dyDescent="0.25">
      <c r="A196" s="74" t="s">
        <v>284</v>
      </c>
      <c r="B196" s="50" t="s">
        <v>61</v>
      </c>
      <c r="C196" s="50" t="s">
        <v>68</v>
      </c>
      <c r="D196" s="50" t="s">
        <v>52</v>
      </c>
      <c r="E196" s="50" t="s">
        <v>64</v>
      </c>
      <c r="F196" s="50">
        <v>4000</v>
      </c>
      <c r="G196" s="50">
        <v>2013</v>
      </c>
      <c r="H196" s="50">
        <v>227909</v>
      </c>
      <c r="I196" s="50">
        <v>25011.5</v>
      </c>
      <c r="J196" s="51">
        <v>4877242</v>
      </c>
      <c r="K196" s="51">
        <v>22662</v>
      </c>
      <c r="L196" s="51">
        <f t="shared" si="12"/>
        <v>4899904</v>
      </c>
      <c r="M196" s="50" t="s">
        <v>54</v>
      </c>
      <c r="N196" s="52">
        <v>68.3</v>
      </c>
      <c r="O196" s="75">
        <f t="shared" si="13"/>
        <v>21.499387913597094</v>
      </c>
    </row>
    <row r="197" spans="1:15" ht="15" customHeight="1" x14ac:dyDescent="0.25">
      <c r="A197" s="74" t="s">
        <v>285</v>
      </c>
      <c r="B197" s="50" t="s">
        <v>113</v>
      </c>
      <c r="C197" s="50" t="s">
        <v>91</v>
      </c>
      <c r="D197" s="50" t="s">
        <v>63</v>
      </c>
      <c r="E197" s="50" t="s">
        <v>53</v>
      </c>
      <c r="F197" s="50">
        <v>3500</v>
      </c>
      <c r="G197" s="50">
        <v>2019</v>
      </c>
      <c r="H197" s="50">
        <v>90323</v>
      </c>
      <c r="I197" s="50">
        <v>10049.200000000001</v>
      </c>
      <c r="J197" s="51">
        <v>1808856</v>
      </c>
      <c r="K197" s="51">
        <v>90428</v>
      </c>
      <c r="L197" s="51">
        <f t="shared" si="12"/>
        <v>1899284</v>
      </c>
      <c r="M197" s="50" t="s">
        <v>54</v>
      </c>
      <c r="N197" s="52">
        <v>90.6</v>
      </c>
      <c r="O197" s="75">
        <f t="shared" si="13"/>
        <v>21.027689514298682</v>
      </c>
    </row>
    <row r="198" spans="1:15" ht="15" customHeight="1" x14ac:dyDescent="0.25">
      <c r="A198" s="74" t="s">
        <v>286</v>
      </c>
      <c r="B198" s="50" t="s">
        <v>57</v>
      </c>
      <c r="C198" s="50" t="s">
        <v>103</v>
      </c>
      <c r="D198" s="50" t="s">
        <v>52</v>
      </c>
      <c r="E198" s="50" t="s">
        <v>53</v>
      </c>
      <c r="F198" s="50">
        <v>4500</v>
      </c>
      <c r="G198" s="50">
        <v>2018</v>
      </c>
      <c r="H198" s="50">
        <v>70670</v>
      </c>
      <c r="I198" s="50">
        <v>7908.8</v>
      </c>
      <c r="J198" s="51">
        <v>1423584</v>
      </c>
      <c r="K198" s="51">
        <v>63980</v>
      </c>
      <c r="L198" s="51">
        <f t="shared" si="12"/>
        <v>1487564</v>
      </c>
      <c r="M198" s="50" t="s">
        <v>54</v>
      </c>
      <c r="N198" s="52">
        <v>58.1</v>
      </c>
      <c r="O198" s="75">
        <f t="shared" si="13"/>
        <v>21.049441064100751</v>
      </c>
    </row>
    <row r="199" spans="1:15" ht="15" customHeight="1" x14ac:dyDescent="0.25">
      <c r="A199" s="74" t="s">
        <v>287</v>
      </c>
      <c r="B199" s="50" t="s">
        <v>50</v>
      </c>
      <c r="C199" s="50" t="s">
        <v>51</v>
      </c>
      <c r="D199" s="50" t="s">
        <v>52</v>
      </c>
      <c r="E199" s="50" t="s">
        <v>53</v>
      </c>
      <c r="F199" s="50">
        <v>4000</v>
      </c>
      <c r="G199" s="50">
        <v>2019</v>
      </c>
      <c r="H199" s="50">
        <v>234223</v>
      </c>
      <c r="I199" s="50">
        <v>24552.9</v>
      </c>
      <c r="J199" s="51">
        <v>4419522</v>
      </c>
      <c r="K199" s="51">
        <v>105857</v>
      </c>
      <c r="L199" s="51">
        <f t="shared" si="12"/>
        <v>4525379</v>
      </c>
      <c r="M199" s="50" t="s">
        <v>54</v>
      </c>
      <c r="N199" s="52">
        <v>62.4</v>
      </c>
      <c r="O199" s="75">
        <f t="shared" si="13"/>
        <v>19.320813925190951</v>
      </c>
    </row>
    <row r="200" spans="1:15" ht="15" customHeight="1" x14ac:dyDescent="0.25">
      <c r="A200" s="74" t="s">
        <v>288</v>
      </c>
      <c r="B200" s="50" t="s">
        <v>75</v>
      </c>
      <c r="C200" s="50" t="s">
        <v>83</v>
      </c>
      <c r="D200" s="50" t="s">
        <v>52</v>
      </c>
      <c r="E200" s="50" t="s">
        <v>53</v>
      </c>
      <c r="F200" s="50">
        <v>3000</v>
      </c>
      <c r="G200" s="50">
        <v>2022</v>
      </c>
      <c r="H200" s="50">
        <v>98541</v>
      </c>
      <c r="I200" s="50">
        <v>12793.2</v>
      </c>
      <c r="J200" s="51">
        <v>2302776</v>
      </c>
      <c r="K200" s="51">
        <v>69046</v>
      </c>
      <c r="L200" s="51">
        <f t="shared" si="12"/>
        <v>2371822</v>
      </c>
      <c r="M200" s="50" t="s">
        <v>54</v>
      </c>
      <c r="N200" s="52">
        <v>61.4</v>
      </c>
      <c r="O200" s="75">
        <f t="shared" si="13"/>
        <v>24.06939243563593</v>
      </c>
    </row>
    <row r="201" spans="1:15" ht="15" customHeight="1" x14ac:dyDescent="0.25">
      <c r="A201" s="76" t="s">
        <v>289</v>
      </c>
      <c r="B201" s="77" t="s">
        <v>107</v>
      </c>
      <c r="C201" s="77" t="s">
        <v>96</v>
      </c>
      <c r="D201" s="77" t="s">
        <v>94</v>
      </c>
      <c r="E201" s="77" t="s">
        <v>53</v>
      </c>
      <c r="F201" s="77">
        <v>4500</v>
      </c>
      <c r="G201" s="77">
        <v>2017</v>
      </c>
      <c r="H201" s="77">
        <v>141211</v>
      </c>
      <c r="I201" s="77">
        <v>14335</v>
      </c>
      <c r="J201" s="78">
        <v>2580300</v>
      </c>
      <c r="K201" s="78">
        <v>52054</v>
      </c>
      <c r="L201" s="78">
        <f t="shared" si="12"/>
        <v>2632354</v>
      </c>
      <c r="M201" s="77" t="s">
        <v>54</v>
      </c>
      <c r="N201" s="79">
        <v>71.2</v>
      </c>
      <c r="O201" s="80">
        <f t="shared" si="13"/>
        <v>18.641281486569742</v>
      </c>
    </row>
  </sheetData>
  <mergeCells count="1">
    <mergeCell ref="Q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1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1" width="10" style="81" customWidth="1"/>
    <col min="2" max="2" width="15" style="81" customWidth="1"/>
    <col min="3" max="3" width="18" style="81" customWidth="1"/>
    <col min="4" max="4" width="14" style="81" customWidth="1"/>
    <col min="5" max="5" width="13" style="81" customWidth="1"/>
    <col min="6" max="8" width="12" style="81" customWidth="1"/>
    <col min="9" max="9" width="13" style="81" customWidth="1"/>
    <col min="10" max="10" width="11" style="81" customWidth="1"/>
    <col min="11" max="11" width="13" style="81" customWidth="1"/>
    <col min="12" max="12" width="12" style="81" customWidth="1"/>
    <col min="13" max="13" width="13" style="81" customWidth="1"/>
    <col min="14" max="14" width="12" style="81" customWidth="1"/>
    <col min="15" max="15" width="14" style="81" customWidth="1"/>
    <col min="16" max="16384" width="8.7109375" style="81"/>
  </cols>
  <sheetData>
    <row r="1" spans="1:15" ht="27.75" customHeight="1" x14ac:dyDescent="0.25">
      <c r="A1" s="85" t="s">
        <v>290</v>
      </c>
      <c r="B1" s="85" t="s">
        <v>291</v>
      </c>
      <c r="C1" s="85" t="s">
        <v>292</v>
      </c>
      <c r="D1" s="85" t="s">
        <v>35</v>
      </c>
      <c r="E1" s="85" t="s">
        <v>293</v>
      </c>
      <c r="F1" s="85" t="s">
        <v>294</v>
      </c>
      <c r="G1" s="85" t="s">
        <v>295</v>
      </c>
      <c r="H1" s="85" t="s">
        <v>296</v>
      </c>
      <c r="I1" s="85" t="s">
        <v>297</v>
      </c>
      <c r="J1" s="85" t="s">
        <v>298</v>
      </c>
      <c r="K1" s="85" t="s">
        <v>42</v>
      </c>
      <c r="L1" s="85" t="s">
        <v>299</v>
      </c>
      <c r="M1" s="85" t="s">
        <v>300</v>
      </c>
      <c r="N1" s="85" t="s">
        <v>301</v>
      </c>
      <c r="O1" s="85" t="s">
        <v>302</v>
      </c>
    </row>
    <row r="2" spans="1:15" ht="15" customHeight="1" x14ac:dyDescent="0.25">
      <c r="A2" s="82" t="s">
        <v>303</v>
      </c>
      <c r="B2" s="82" t="s">
        <v>304</v>
      </c>
      <c r="C2" s="82" t="s">
        <v>305</v>
      </c>
      <c r="D2" s="82" t="s">
        <v>306</v>
      </c>
      <c r="E2" s="82" t="s">
        <v>307</v>
      </c>
      <c r="F2" s="82" t="s">
        <v>308</v>
      </c>
      <c r="G2" s="82">
        <v>7.6</v>
      </c>
      <c r="H2" s="82">
        <v>12</v>
      </c>
      <c r="I2" s="83">
        <f t="shared" ref="I2:I65" si="0">IF(H2&gt;0,G2/H2*100,0)</f>
        <v>63.333333333333329</v>
      </c>
      <c r="J2" s="82">
        <v>102.6</v>
      </c>
      <c r="K2" s="84">
        <v>18468</v>
      </c>
      <c r="L2" s="82">
        <v>0</v>
      </c>
      <c r="M2" s="82" t="s">
        <v>309</v>
      </c>
      <c r="N2" s="82">
        <v>1.8</v>
      </c>
      <c r="O2" s="82">
        <f t="shared" ref="O2:O65" si="1">IF(I2&gt;0,I2*(1-N2/H2),0)</f>
        <v>53.833333333333329</v>
      </c>
    </row>
    <row r="3" spans="1:15" ht="15" customHeight="1" x14ac:dyDescent="0.25">
      <c r="A3" s="82" t="s">
        <v>310</v>
      </c>
      <c r="B3" s="82" t="s">
        <v>311</v>
      </c>
      <c r="C3" s="82" t="s">
        <v>312</v>
      </c>
      <c r="D3" s="82" t="s">
        <v>313</v>
      </c>
      <c r="E3" s="82" t="s">
        <v>314</v>
      </c>
      <c r="F3" s="82" t="s">
        <v>315</v>
      </c>
      <c r="G3" s="82">
        <v>7.3</v>
      </c>
      <c r="H3" s="82">
        <v>10</v>
      </c>
      <c r="I3" s="83">
        <f t="shared" si="0"/>
        <v>73</v>
      </c>
      <c r="J3" s="82">
        <v>85.1</v>
      </c>
      <c r="K3" s="84">
        <v>15318</v>
      </c>
      <c r="L3" s="82">
        <v>0</v>
      </c>
      <c r="M3" s="82" t="s">
        <v>309</v>
      </c>
      <c r="N3" s="82">
        <v>1.2</v>
      </c>
      <c r="O3" s="82">
        <f t="shared" si="1"/>
        <v>64.239999999999995</v>
      </c>
    </row>
    <row r="4" spans="1:15" ht="15" customHeight="1" x14ac:dyDescent="0.25">
      <c r="A4" s="82" t="s">
        <v>316</v>
      </c>
      <c r="B4" s="82" t="s">
        <v>67</v>
      </c>
      <c r="C4" s="82" t="s">
        <v>317</v>
      </c>
      <c r="D4" s="82" t="s">
        <v>51</v>
      </c>
      <c r="E4" s="82" t="s">
        <v>318</v>
      </c>
      <c r="F4" s="82" t="s">
        <v>319</v>
      </c>
      <c r="G4" s="82">
        <v>8.8000000000000007</v>
      </c>
      <c r="H4" s="82">
        <v>10</v>
      </c>
      <c r="I4" s="83">
        <f t="shared" si="0"/>
        <v>88.000000000000014</v>
      </c>
      <c r="J4" s="82">
        <v>116.1</v>
      </c>
      <c r="K4" s="84">
        <v>20898</v>
      </c>
      <c r="L4" s="82">
        <v>0</v>
      </c>
      <c r="M4" s="82" t="s">
        <v>309</v>
      </c>
      <c r="N4" s="82">
        <v>0.4</v>
      </c>
      <c r="O4" s="82">
        <f t="shared" si="1"/>
        <v>84.48</v>
      </c>
    </row>
    <row r="5" spans="1:15" ht="15" customHeight="1" x14ac:dyDescent="0.25">
      <c r="A5" s="82" t="s">
        <v>320</v>
      </c>
      <c r="B5" s="82" t="s">
        <v>321</v>
      </c>
      <c r="C5" s="82" t="s">
        <v>322</v>
      </c>
      <c r="D5" s="82" t="s">
        <v>62</v>
      </c>
      <c r="E5" s="82" t="s">
        <v>323</v>
      </c>
      <c r="F5" s="82" t="s">
        <v>308</v>
      </c>
      <c r="G5" s="82">
        <v>9.9</v>
      </c>
      <c r="H5" s="82">
        <v>12</v>
      </c>
      <c r="I5" s="83">
        <f t="shared" si="0"/>
        <v>82.5</v>
      </c>
      <c r="J5" s="82">
        <v>108.8</v>
      </c>
      <c r="K5" s="84">
        <v>19584</v>
      </c>
      <c r="L5" s="82">
        <v>0</v>
      </c>
      <c r="M5" s="82" t="s">
        <v>309</v>
      </c>
      <c r="N5" s="82">
        <v>1.6</v>
      </c>
      <c r="O5" s="82">
        <f t="shared" si="1"/>
        <v>71.5</v>
      </c>
    </row>
    <row r="6" spans="1:15" ht="15" customHeight="1" x14ac:dyDescent="0.25">
      <c r="A6" s="82" t="s">
        <v>324</v>
      </c>
      <c r="B6" s="82" t="s">
        <v>321</v>
      </c>
      <c r="C6" s="82" t="s">
        <v>305</v>
      </c>
      <c r="D6" s="82" t="s">
        <v>306</v>
      </c>
      <c r="E6" s="82" t="s">
        <v>325</v>
      </c>
      <c r="F6" s="82" t="s">
        <v>326</v>
      </c>
      <c r="G6" s="82">
        <v>6</v>
      </c>
      <c r="H6" s="82">
        <v>10</v>
      </c>
      <c r="I6" s="83">
        <f t="shared" si="0"/>
        <v>60</v>
      </c>
      <c r="J6" s="82">
        <v>54.6</v>
      </c>
      <c r="K6" s="84">
        <v>9828</v>
      </c>
      <c r="L6" s="82">
        <v>0</v>
      </c>
      <c r="M6" s="82" t="s">
        <v>327</v>
      </c>
      <c r="N6" s="82">
        <v>2.7</v>
      </c>
      <c r="O6" s="82">
        <f t="shared" si="1"/>
        <v>43.8</v>
      </c>
    </row>
    <row r="7" spans="1:15" ht="15" customHeight="1" x14ac:dyDescent="0.25">
      <c r="A7" s="82" t="s">
        <v>328</v>
      </c>
      <c r="B7" s="82" t="s">
        <v>67</v>
      </c>
      <c r="C7" s="82" t="s">
        <v>329</v>
      </c>
      <c r="D7" s="82" t="s">
        <v>330</v>
      </c>
      <c r="E7" s="82" t="s">
        <v>325</v>
      </c>
      <c r="F7" s="82" t="s">
        <v>331</v>
      </c>
      <c r="G7" s="82">
        <v>8.6</v>
      </c>
      <c r="H7" s="82">
        <v>12</v>
      </c>
      <c r="I7" s="83">
        <f t="shared" si="0"/>
        <v>71.666666666666671</v>
      </c>
      <c r="J7" s="82">
        <v>130.80000000000001</v>
      </c>
      <c r="K7" s="84">
        <v>23544</v>
      </c>
      <c r="L7" s="82">
        <v>0</v>
      </c>
      <c r="M7" s="82" t="s">
        <v>327</v>
      </c>
      <c r="N7" s="82">
        <v>1.9</v>
      </c>
      <c r="O7" s="82">
        <f t="shared" si="1"/>
        <v>60.31944444444445</v>
      </c>
    </row>
    <row r="8" spans="1:15" ht="15" customHeight="1" x14ac:dyDescent="0.25">
      <c r="A8" s="82" t="s">
        <v>332</v>
      </c>
      <c r="B8" s="82" t="s">
        <v>321</v>
      </c>
      <c r="C8" s="82" t="s">
        <v>333</v>
      </c>
      <c r="D8" s="82" t="s">
        <v>86</v>
      </c>
      <c r="E8" s="82" t="s">
        <v>334</v>
      </c>
      <c r="F8" s="82" t="s">
        <v>335</v>
      </c>
      <c r="G8" s="82">
        <v>4.2</v>
      </c>
      <c r="H8" s="82">
        <v>9</v>
      </c>
      <c r="I8" s="83">
        <f t="shared" si="0"/>
        <v>46.666666666666664</v>
      </c>
      <c r="J8" s="82">
        <v>73.400000000000006</v>
      </c>
      <c r="K8" s="84">
        <v>13212</v>
      </c>
      <c r="L8" s="82">
        <v>0</v>
      </c>
      <c r="M8" s="82" t="s">
        <v>327</v>
      </c>
      <c r="N8" s="82">
        <v>0.9</v>
      </c>
      <c r="O8" s="82">
        <f t="shared" si="1"/>
        <v>42</v>
      </c>
    </row>
    <row r="9" spans="1:15" ht="15" customHeight="1" x14ac:dyDescent="0.25">
      <c r="A9" s="82" t="s">
        <v>336</v>
      </c>
      <c r="B9" s="82" t="s">
        <v>311</v>
      </c>
      <c r="C9" s="82" t="s">
        <v>333</v>
      </c>
      <c r="D9" s="82" t="s">
        <v>86</v>
      </c>
      <c r="E9" s="82" t="s">
        <v>337</v>
      </c>
      <c r="F9" s="82" t="s">
        <v>338</v>
      </c>
      <c r="G9" s="82">
        <v>10.199999999999999</v>
      </c>
      <c r="H9" s="82">
        <v>12</v>
      </c>
      <c r="I9" s="83">
        <f t="shared" si="0"/>
        <v>85</v>
      </c>
      <c r="J9" s="82">
        <v>175.5</v>
      </c>
      <c r="K9" s="84">
        <v>31590</v>
      </c>
      <c r="L9" s="82">
        <v>0</v>
      </c>
      <c r="M9" s="82" t="s">
        <v>309</v>
      </c>
      <c r="N9" s="82">
        <v>0.2</v>
      </c>
      <c r="O9" s="82">
        <f t="shared" si="1"/>
        <v>83.583333333333329</v>
      </c>
    </row>
    <row r="10" spans="1:15" ht="15" customHeight="1" x14ac:dyDescent="0.25">
      <c r="A10" s="82" t="s">
        <v>339</v>
      </c>
      <c r="B10" s="82" t="s">
        <v>311</v>
      </c>
      <c r="C10" s="82" t="s">
        <v>340</v>
      </c>
      <c r="D10" s="82" t="s">
        <v>341</v>
      </c>
      <c r="E10" s="82" t="s">
        <v>337</v>
      </c>
      <c r="F10" s="82" t="s">
        <v>342</v>
      </c>
      <c r="G10" s="82">
        <v>10</v>
      </c>
      <c r="H10" s="82">
        <v>10</v>
      </c>
      <c r="I10" s="83">
        <f t="shared" si="0"/>
        <v>100</v>
      </c>
      <c r="J10" s="82">
        <v>127.8</v>
      </c>
      <c r="K10" s="84">
        <v>23004</v>
      </c>
      <c r="L10" s="82">
        <v>0</v>
      </c>
      <c r="M10" s="82" t="s">
        <v>343</v>
      </c>
      <c r="N10" s="82">
        <v>1.4</v>
      </c>
      <c r="O10" s="82">
        <f t="shared" si="1"/>
        <v>86</v>
      </c>
    </row>
    <row r="11" spans="1:15" ht="15" customHeight="1" x14ac:dyDescent="0.25">
      <c r="A11" s="82" t="s">
        <v>344</v>
      </c>
      <c r="B11" s="82" t="s">
        <v>304</v>
      </c>
      <c r="C11" s="82" t="s">
        <v>322</v>
      </c>
      <c r="D11" s="82" t="s">
        <v>62</v>
      </c>
      <c r="E11" s="82" t="s">
        <v>345</v>
      </c>
      <c r="F11" s="82" t="s">
        <v>315</v>
      </c>
      <c r="G11" s="82">
        <v>7.7</v>
      </c>
      <c r="H11" s="82">
        <v>10</v>
      </c>
      <c r="I11" s="83">
        <f t="shared" si="0"/>
        <v>77</v>
      </c>
      <c r="J11" s="82">
        <v>76.400000000000006</v>
      </c>
      <c r="K11" s="84">
        <v>13752</v>
      </c>
      <c r="L11" s="82">
        <v>0</v>
      </c>
      <c r="M11" s="82" t="s">
        <v>327</v>
      </c>
      <c r="N11" s="82">
        <v>0.7</v>
      </c>
      <c r="O11" s="82">
        <f t="shared" si="1"/>
        <v>71.61</v>
      </c>
    </row>
    <row r="12" spans="1:15" ht="15" customHeight="1" x14ac:dyDescent="0.25">
      <c r="A12" s="82" t="s">
        <v>346</v>
      </c>
      <c r="B12" s="82" t="s">
        <v>71</v>
      </c>
      <c r="C12" s="82" t="s">
        <v>305</v>
      </c>
      <c r="D12" s="82" t="s">
        <v>306</v>
      </c>
      <c r="E12" s="82" t="s">
        <v>337</v>
      </c>
      <c r="F12" s="82" t="s">
        <v>347</v>
      </c>
      <c r="G12" s="82">
        <v>6.2</v>
      </c>
      <c r="H12" s="82">
        <v>11</v>
      </c>
      <c r="I12" s="83">
        <f t="shared" si="0"/>
        <v>56.36363636363636</v>
      </c>
      <c r="J12" s="82">
        <v>71.2</v>
      </c>
      <c r="K12" s="84">
        <v>12816</v>
      </c>
      <c r="L12" s="82">
        <v>1</v>
      </c>
      <c r="M12" s="82" t="s">
        <v>309</v>
      </c>
      <c r="N12" s="82">
        <v>2.4</v>
      </c>
      <c r="O12" s="82">
        <f t="shared" si="1"/>
        <v>44.066115702479337</v>
      </c>
    </row>
    <row r="13" spans="1:15" ht="15" customHeight="1" x14ac:dyDescent="0.25">
      <c r="A13" s="82" t="s">
        <v>348</v>
      </c>
      <c r="B13" s="82" t="s">
        <v>349</v>
      </c>
      <c r="C13" s="82" t="s">
        <v>329</v>
      </c>
      <c r="D13" s="82" t="s">
        <v>330</v>
      </c>
      <c r="E13" s="82" t="s">
        <v>345</v>
      </c>
      <c r="F13" s="82" t="s">
        <v>308</v>
      </c>
      <c r="G13" s="82">
        <v>9.6999999999999993</v>
      </c>
      <c r="H13" s="82">
        <v>11</v>
      </c>
      <c r="I13" s="83">
        <f t="shared" si="0"/>
        <v>88.181818181818173</v>
      </c>
      <c r="J13" s="82">
        <v>170.2</v>
      </c>
      <c r="K13" s="84">
        <v>30636</v>
      </c>
      <c r="L13" s="82">
        <v>0</v>
      </c>
      <c r="M13" s="82" t="s">
        <v>327</v>
      </c>
      <c r="N13" s="82">
        <v>0.9</v>
      </c>
      <c r="O13" s="82">
        <f t="shared" si="1"/>
        <v>80.966942148760324</v>
      </c>
    </row>
    <row r="14" spans="1:15" ht="15" customHeight="1" x14ac:dyDescent="0.25">
      <c r="A14" s="82" t="s">
        <v>350</v>
      </c>
      <c r="B14" s="82" t="s">
        <v>349</v>
      </c>
      <c r="C14" s="82" t="s">
        <v>322</v>
      </c>
      <c r="D14" s="82" t="s">
        <v>62</v>
      </c>
      <c r="E14" s="82" t="s">
        <v>351</v>
      </c>
      <c r="F14" s="82" t="s">
        <v>352</v>
      </c>
      <c r="G14" s="82">
        <v>8.5</v>
      </c>
      <c r="H14" s="82">
        <v>10</v>
      </c>
      <c r="I14" s="83">
        <f t="shared" si="0"/>
        <v>85</v>
      </c>
      <c r="J14" s="82">
        <v>86.2</v>
      </c>
      <c r="K14" s="84">
        <v>15516</v>
      </c>
      <c r="L14" s="82">
        <v>0</v>
      </c>
      <c r="M14" s="82" t="s">
        <v>327</v>
      </c>
      <c r="N14" s="82">
        <v>1.7</v>
      </c>
      <c r="O14" s="82">
        <f t="shared" si="1"/>
        <v>70.550000000000011</v>
      </c>
    </row>
    <row r="15" spans="1:15" ht="15" customHeight="1" x14ac:dyDescent="0.25">
      <c r="A15" s="82" t="s">
        <v>353</v>
      </c>
      <c r="B15" s="82" t="s">
        <v>71</v>
      </c>
      <c r="C15" s="82" t="s">
        <v>354</v>
      </c>
      <c r="D15" s="82" t="s">
        <v>96</v>
      </c>
      <c r="E15" s="82" t="s">
        <v>355</v>
      </c>
      <c r="F15" s="82" t="s">
        <v>356</v>
      </c>
      <c r="G15" s="82">
        <v>5.9</v>
      </c>
      <c r="H15" s="82">
        <v>12</v>
      </c>
      <c r="I15" s="83">
        <f t="shared" si="0"/>
        <v>49.166666666666671</v>
      </c>
      <c r="J15" s="82">
        <v>50.2</v>
      </c>
      <c r="K15" s="84">
        <v>9036</v>
      </c>
      <c r="L15" s="82">
        <v>1</v>
      </c>
      <c r="M15" s="82" t="s">
        <v>327</v>
      </c>
      <c r="N15" s="82">
        <v>2.2000000000000002</v>
      </c>
      <c r="O15" s="82">
        <f t="shared" si="1"/>
        <v>40.152777777777779</v>
      </c>
    </row>
    <row r="16" spans="1:15" ht="15" customHeight="1" x14ac:dyDescent="0.25">
      <c r="A16" s="82" t="s">
        <v>357</v>
      </c>
      <c r="B16" s="82" t="s">
        <v>349</v>
      </c>
      <c r="C16" s="82" t="s">
        <v>333</v>
      </c>
      <c r="D16" s="82" t="s">
        <v>86</v>
      </c>
      <c r="E16" s="82" t="s">
        <v>358</v>
      </c>
      <c r="F16" s="82" t="s">
        <v>347</v>
      </c>
      <c r="G16" s="82">
        <v>4.7</v>
      </c>
      <c r="H16" s="82">
        <v>11</v>
      </c>
      <c r="I16" s="83">
        <f t="shared" si="0"/>
        <v>42.727272727272734</v>
      </c>
      <c r="J16" s="82">
        <v>73.8</v>
      </c>
      <c r="K16" s="84">
        <v>13284</v>
      </c>
      <c r="L16" s="82">
        <v>0</v>
      </c>
      <c r="M16" s="82" t="s">
        <v>327</v>
      </c>
      <c r="N16" s="82">
        <v>2.8</v>
      </c>
      <c r="O16" s="82">
        <f t="shared" si="1"/>
        <v>31.851239669421492</v>
      </c>
    </row>
    <row r="17" spans="1:15" ht="15" customHeight="1" x14ac:dyDescent="0.25">
      <c r="A17" s="82" t="s">
        <v>359</v>
      </c>
      <c r="B17" s="82" t="s">
        <v>360</v>
      </c>
      <c r="C17" s="82" t="s">
        <v>361</v>
      </c>
      <c r="D17" s="82" t="s">
        <v>119</v>
      </c>
      <c r="E17" s="82" t="s">
        <v>325</v>
      </c>
      <c r="F17" s="82" t="s">
        <v>352</v>
      </c>
      <c r="G17" s="82">
        <v>7.8</v>
      </c>
      <c r="H17" s="82">
        <v>9</v>
      </c>
      <c r="I17" s="83">
        <f t="shared" si="0"/>
        <v>86.666666666666671</v>
      </c>
      <c r="J17" s="82">
        <v>84.8</v>
      </c>
      <c r="K17" s="84">
        <v>15264</v>
      </c>
      <c r="L17" s="82">
        <v>0</v>
      </c>
      <c r="M17" s="82" t="s">
        <v>327</v>
      </c>
      <c r="N17" s="82">
        <v>2.2999999999999998</v>
      </c>
      <c r="O17" s="82">
        <f t="shared" si="1"/>
        <v>64.518518518518519</v>
      </c>
    </row>
    <row r="18" spans="1:15" ht="15" customHeight="1" x14ac:dyDescent="0.25">
      <c r="A18" s="82" t="s">
        <v>362</v>
      </c>
      <c r="B18" s="82" t="s">
        <v>321</v>
      </c>
      <c r="C18" s="82" t="s">
        <v>363</v>
      </c>
      <c r="D18" s="82" t="s">
        <v>103</v>
      </c>
      <c r="E18" s="82" t="s">
        <v>345</v>
      </c>
      <c r="F18" s="82" t="s">
        <v>364</v>
      </c>
      <c r="G18" s="82">
        <v>7.7</v>
      </c>
      <c r="H18" s="82">
        <v>8</v>
      </c>
      <c r="I18" s="83">
        <f t="shared" si="0"/>
        <v>96.25</v>
      </c>
      <c r="J18" s="82">
        <v>75.099999999999994</v>
      </c>
      <c r="K18" s="84">
        <v>13518</v>
      </c>
      <c r="L18" s="82">
        <v>1</v>
      </c>
      <c r="M18" s="82" t="s">
        <v>327</v>
      </c>
      <c r="N18" s="82">
        <v>5.6</v>
      </c>
      <c r="O18" s="82">
        <f t="shared" si="1"/>
        <v>28.875000000000004</v>
      </c>
    </row>
    <row r="19" spans="1:15" ht="15" customHeight="1" x14ac:dyDescent="0.25">
      <c r="A19" s="82" t="s">
        <v>365</v>
      </c>
      <c r="B19" s="82" t="s">
        <v>360</v>
      </c>
      <c r="C19" s="82" t="s">
        <v>361</v>
      </c>
      <c r="D19" s="82" t="s">
        <v>119</v>
      </c>
      <c r="E19" s="82" t="s">
        <v>323</v>
      </c>
      <c r="F19" s="82" t="s">
        <v>364</v>
      </c>
      <c r="G19" s="82">
        <v>9.3000000000000007</v>
      </c>
      <c r="H19" s="82">
        <v>10</v>
      </c>
      <c r="I19" s="83">
        <f t="shared" si="0"/>
        <v>93</v>
      </c>
      <c r="J19" s="82">
        <v>75.3</v>
      </c>
      <c r="K19" s="84">
        <v>13554</v>
      </c>
      <c r="L19" s="82">
        <v>0</v>
      </c>
      <c r="M19" s="82" t="s">
        <v>327</v>
      </c>
      <c r="N19" s="82">
        <v>2.9</v>
      </c>
      <c r="O19" s="82">
        <f t="shared" si="1"/>
        <v>66.03</v>
      </c>
    </row>
    <row r="20" spans="1:15" ht="15" customHeight="1" x14ac:dyDescent="0.25">
      <c r="A20" s="82" t="s">
        <v>366</v>
      </c>
      <c r="B20" s="82" t="s">
        <v>71</v>
      </c>
      <c r="C20" s="82" t="s">
        <v>361</v>
      </c>
      <c r="D20" s="82" t="s">
        <v>119</v>
      </c>
      <c r="E20" s="82" t="s">
        <v>345</v>
      </c>
      <c r="F20" s="82" t="s">
        <v>367</v>
      </c>
      <c r="G20" s="82">
        <v>10.199999999999999</v>
      </c>
      <c r="H20" s="82">
        <v>11</v>
      </c>
      <c r="I20" s="83">
        <f t="shared" si="0"/>
        <v>92.72727272727272</v>
      </c>
      <c r="J20" s="82">
        <v>95.3</v>
      </c>
      <c r="K20" s="84">
        <v>17154</v>
      </c>
      <c r="L20" s="82">
        <v>0</v>
      </c>
      <c r="M20" s="82" t="s">
        <v>327</v>
      </c>
      <c r="N20" s="82">
        <v>2.4</v>
      </c>
      <c r="O20" s="82">
        <f t="shared" si="1"/>
        <v>72.495867768595033</v>
      </c>
    </row>
    <row r="21" spans="1:15" ht="15" customHeight="1" x14ac:dyDescent="0.25">
      <c r="A21" s="82" t="s">
        <v>368</v>
      </c>
      <c r="B21" s="82" t="s">
        <v>369</v>
      </c>
      <c r="C21" s="82" t="s">
        <v>354</v>
      </c>
      <c r="D21" s="82" t="s">
        <v>96</v>
      </c>
      <c r="E21" s="82" t="s">
        <v>351</v>
      </c>
      <c r="F21" s="82" t="s">
        <v>352</v>
      </c>
      <c r="G21" s="82">
        <v>8.3000000000000007</v>
      </c>
      <c r="H21" s="82">
        <v>10</v>
      </c>
      <c r="I21" s="83">
        <f t="shared" si="0"/>
        <v>83</v>
      </c>
      <c r="J21" s="82">
        <v>67.599999999999994</v>
      </c>
      <c r="K21" s="84">
        <v>12168</v>
      </c>
      <c r="L21" s="82">
        <v>0</v>
      </c>
      <c r="M21" s="82" t="s">
        <v>327</v>
      </c>
      <c r="N21" s="82">
        <v>2</v>
      </c>
      <c r="O21" s="82">
        <f t="shared" si="1"/>
        <v>66.400000000000006</v>
      </c>
    </row>
    <row r="22" spans="1:15" ht="15" customHeight="1" x14ac:dyDescent="0.25">
      <c r="A22" s="82" t="s">
        <v>370</v>
      </c>
      <c r="B22" s="82" t="s">
        <v>371</v>
      </c>
      <c r="C22" s="82" t="s">
        <v>354</v>
      </c>
      <c r="D22" s="82" t="s">
        <v>96</v>
      </c>
      <c r="E22" s="82" t="s">
        <v>372</v>
      </c>
      <c r="F22" s="82" t="s">
        <v>352</v>
      </c>
      <c r="G22" s="82">
        <v>9.8000000000000007</v>
      </c>
      <c r="H22" s="82">
        <v>11</v>
      </c>
      <c r="I22" s="83">
        <f t="shared" si="0"/>
        <v>89.090909090909093</v>
      </c>
      <c r="J22" s="82">
        <v>128.9</v>
      </c>
      <c r="K22" s="84">
        <v>23202</v>
      </c>
      <c r="L22" s="82">
        <v>0</v>
      </c>
      <c r="M22" s="82" t="s">
        <v>309</v>
      </c>
      <c r="N22" s="82">
        <v>0.6</v>
      </c>
      <c r="O22" s="82">
        <f t="shared" si="1"/>
        <v>84.231404958677686</v>
      </c>
    </row>
    <row r="23" spans="1:15" ht="15" customHeight="1" x14ac:dyDescent="0.25">
      <c r="A23" s="82" t="s">
        <v>373</v>
      </c>
      <c r="B23" s="82" t="s">
        <v>311</v>
      </c>
      <c r="C23" s="82" t="s">
        <v>361</v>
      </c>
      <c r="D23" s="82" t="s">
        <v>119</v>
      </c>
      <c r="E23" s="82" t="s">
        <v>358</v>
      </c>
      <c r="F23" s="82" t="s">
        <v>374</v>
      </c>
      <c r="G23" s="82">
        <v>5</v>
      </c>
      <c r="H23" s="82">
        <v>8</v>
      </c>
      <c r="I23" s="83">
        <f t="shared" si="0"/>
        <v>62.5</v>
      </c>
      <c r="J23" s="82">
        <v>51.8</v>
      </c>
      <c r="K23" s="84">
        <v>9324</v>
      </c>
      <c r="L23" s="82">
        <v>0</v>
      </c>
      <c r="M23" s="82" t="s">
        <v>343</v>
      </c>
      <c r="N23" s="82">
        <v>0.9</v>
      </c>
      <c r="O23" s="82">
        <f t="shared" si="1"/>
        <v>55.46875</v>
      </c>
    </row>
    <row r="24" spans="1:15" ht="15" customHeight="1" x14ac:dyDescent="0.25">
      <c r="A24" s="82" t="s">
        <v>375</v>
      </c>
      <c r="B24" s="82" t="s">
        <v>321</v>
      </c>
      <c r="C24" s="82" t="s">
        <v>317</v>
      </c>
      <c r="D24" s="82" t="s">
        <v>51</v>
      </c>
      <c r="E24" s="82" t="s">
        <v>376</v>
      </c>
      <c r="F24" s="82" t="s">
        <v>352</v>
      </c>
      <c r="G24" s="82">
        <v>8.1999999999999993</v>
      </c>
      <c r="H24" s="82">
        <v>10</v>
      </c>
      <c r="I24" s="83">
        <f t="shared" si="0"/>
        <v>82</v>
      </c>
      <c r="J24" s="82">
        <v>70.7</v>
      </c>
      <c r="K24" s="84">
        <v>12726</v>
      </c>
      <c r="L24" s="82">
        <v>0</v>
      </c>
      <c r="M24" s="82" t="s">
        <v>327</v>
      </c>
      <c r="N24" s="82">
        <v>1.2</v>
      </c>
      <c r="O24" s="82">
        <f t="shared" si="1"/>
        <v>72.16</v>
      </c>
    </row>
    <row r="25" spans="1:15" ht="15" customHeight="1" x14ac:dyDescent="0.25">
      <c r="A25" s="82" t="s">
        <v>377</v>
      </c>
      <c r="B25" s="82" t="s">
        <v>304</v>
      </c>
      <c r="C25" s="82" t="s">
        <v>305</v>
      </c>
      <c r="D25" s="82" t="s">
        <v>306</v>
      </c>
      <c r="E25" s="82" t="s">
        <v>355</v>
      </c>
      <c r="F25" s="82" t="s">
        <v>352</v>
      </c>
      <c r="G25" s="82">
        <v>6.2</v>
      </c>
      <c r="H25" s="82">
        <v>10</v>
      </c>
      <c r="I25" s="83">
        <f t="shared" si="0"/>
        <v>62</v>
      </c>
      <c r="J25" s="82">
        <v>63.3</v>
      </c>
      <c r="K25" s="84">
        <v>11394</v>
      </c>
      <c r="L25" s="82">
        <v>1</v>
      </c>
      <c r="M25" s="82" t="s">
        <v>327</v>
      </c>
      <c r="N25" s="82">
        <v>3.3</v>
      </c>
      <c r="O25" s="82">
        <f t="shared" si="1"/>
        <v>41.54</v>
      </c>
    </row>
    <row r="26" spans="1:15" ht="15" customHeight="1" x14ac:dyDescent="0.25">
      <c r="A26" s="82" t="s">
        <v>378</v>
      </c>
      <c r="B26" s="82" t="s">
        <v>321</v>
      </c>
      <c r="C26" s="82" t="s">
        <v>322</v>
      </c>
      <c r="D26" s="82" t="s">
        <v>62</v>
      </c>
      <c r="E26" s="82" t="s">
        <v>379</v>
      </c>
      <c r="F26" s="82" t="s">
        <v>347</v>
      </c>
      <c r="G26" s="82">
        <v>11.3</v>
      </c>
      <c r="H26" s="82">
        <v>12</v>
      </c>
      <c r="I26" s="83">
        <f t="shared" si="0"/>
        <v>94.166666666666671</v>
      </c>
      <c r="J26" s="82">
        <v>176</v>
      </c>
      <c r="K26" s="84">
        <v>31680</v>
      </c>
      <c r="L26" s="82">
        <v>0</v>
      </c>
      <c r="M26" s="82" t="s">
        <v>309</v>
      </c>
      <c r="N26" s="82">
        <v>2.2999999999999998</v>
      </c>
      <c r="O26" s="82">
        <f t="shared" si="1"/>
        <v>76.118055555555557</v>
      </c>
    </row>
    <row r="27" spans="1:15" ht="15" customHeight="1" x14ac:dyDescent="0.25">
      <c r="A27" s="82" t="s">
        <v>380</v>
      </c>
      <c r="B27" s="82" t="s">
        <v>321</v>
      </c>
      <c r="C27" s="82" t="s">
        <v>312</v>
      </c>
      <c r="D27" s="82" t="s">
        <v>313</v>
      </c>
      <c r="E27" s="82" t="s">
        <v>381</v>
      </c>
      <c r="F27" s="82" t="s">
        <v>382</v>
      </c>
      <c r="G27" s="82">
        <v>9.6</v>
      </c>
      <c r="H27" s="82">
        <v>12</v>
      </c>
      <c r="I27" s="83">
        <f t="shared" si="0"/>
        <v>80</v>
      </c>
      <c r="J27" s="82">
        <v>84.3</v>
      </c>
      <c r="K27" s="84">
        <v>15174</v>
      </c>
      <c r="L27" s="82">
        <v>0</v>
      </c>
      <c r="M27" s="82" t="s">
        <v>327</v>
      </c>
      <c r="N27" s="82">
        <v>1.6</v>
      </c>
      <c r="O27" s="82">
        <f t="shared" si="1"/>
        <v>69.333333333333343</v>
      </c>
    </row>
    <row r="28" spans="1:15" ht="15" customHeight="1" x14ac:dyDescent="0.25">
      <c r="A28" s="82" t="s">
        <v>383</v>
      </c>
      <c r="B28" s="82" t="s">
        <v>304</v>
      </c>
      <c r="C28" s="82" t="s">
        <v>363</v>
      </c>
      <c r="D28" s="82" t="s">
        <v>103</v>
      </c>
      <c r="E28" s="82" t="s">
        <v>384</v>
      </c>
      <c r="F28" s="82" t="s">
        <v>342</v>
      </c>
      <c r="G28" s="82">
        <v>4.8</v>
      </c>
      <c r="H28" s="82">
        <v>9</v>
      </c>
      <c r="I28" s="83">
        <f t="shared" si="0"/>
        <v>53.333333333333336</v>
      </c>
      <c r="J28" s="82">
        <v>79.400000000000006</v>
      </c>
      <c r="K28" s="84">
        <v>14292</v>
      </c>
      <c r="L28" s="82">
        <v>0</v>
      </c>
      <c r="M28" s="82" t="s">
        <v>309</v>
      </c>
      <c r="N28" s="82">
        <v>2.2000000000000002</v>
      </c>
      <c r="O28" s="82">
        <f t="shared" si="1"/>
        <v>40.296296296296298</v>
      </c>
    </row>
    <row r="29" spans="1:15" ht="15" customHeight="1" x14ac:dyDescent="0.25">
      <c r="A29" s="82" t="s">
        <v>385</v>
      </c>
      <c r="B29" s="82" t="s">
        <v>386</v>
      </c>
      <c r="C29" s="82" t="s">
        <v>312</v>
      </c>
      <c r="D29" s="82" t="s">
        <v>313</v>
      </c>
      <c r="E29" s="82" t="s">
        <v>381</v>
      </c>
      <c r="F29" s="82" t="s">
        <v>382</v>
      </c>
      <c r="G29" s="82">
        <v>5.8</v>
      </c>
      <c r="H29" s="82">
        <v>8</v>
      </c>
      <c r="I29" s="83">
        <f t="shared" si="0"/>
        <v>72.5</v>
      </c>
      <c r="J29" s="82">
        <v>76.2</v>
      </c>
      <c r="K29" s="84">
        <v>13716</v>
      </c>
      <c r="L29" s="82">
        <v>0</v>
      </c>
      <c r="M29" s="82" t="s">
        <v>327</v>
      </c>
      <c r="N29" s="82">
        <v>1.4</v>
      </c>
      <c r="O29" s="82">
        <f t="shared" si="1"/>
        <v>59.8125</v>
      </c>
    </row>
    <row r="30" spans="1:15" ht="15" customHeight="1" x14ac:dyDescent="0.25">
      <c r="A30" s="82" t="s">
        <v>387</v>
      </c>
      <c r="B30" s="82" t="s">
        <v>71</v>
      </c>
      <c r="C30" s="82" t="s">
        <v>317</v>
      </c>
      <c r="D30" s="82" t="s">
        <v>51</v>
      </c>
      <c r="E30" s="82" t="s">
        <v>314</v>
      </c>
      <c r="F30" s="82" t="s">
        <v>331</v>
      </c>
      <c r="G30" s="82">
        <v>7</v>
      </c>
      <c r="H30" s="82">
        <v>8</v>
      </c>
      <c r="I30" s="83">
        <f t="shared" si="0"/>
        <v>87.5</v>
      </c>
      <c r="J30" s="82">
        <v>96.5</v>
      </c>
      <c r="K30" s="84">
        <v>17370</v>
      </c>
      <c r="L30" s="82">
        <v>0</v>
      </c>
      <c r="M30" s="82" t="s">
        <v>327</v>
      </c>
      <c r="N30" s="82">
        <v>0.2</v>
      </c>
      <c r="O30" s="82">
        <f t="shared" si="1"/>
        <v>85.3125</v>
      </c>
    </row>
    <row r="31" spans="1:15" ht="15" customHeight="1" x14ac:dyDescent="0.25">
      <c r="A31" s="82" t="s">
        <v>388</v>
      </c>
      <c r="B31" s="82" t="s">
        <v>67</v>
      </c>
      <c r="C31" s="82" t="s">
        <v>312</v>
      </c>
      <c r="D31" s="82" t="s">
        <v>313</v>
      </c>
      <c r="E31" s="82" t="s">
        <v>325</v>
      </c>
      <c r="F31" s="82" t="s">
        <v>389</v>
      </c>
      <c r="G31" s="82">
        <v>6.5</v>
      </c>
      <c r="H31" s="82">
        <v>10</v>
      </c>
      <c r="I31" s="83">
        <f t="shared" si="0"/>
        <v>65</v>
      </c>
      <c r="J31" s="82">
        <v>102</v>
      </c>
      <c r="K31" s="84">
        <v>18360</v>
      </c>
      <c r="L31" s="82">
        <v>0</v>
      </c>
      <c r="M31" s="82" t="s">
        <v>343</v>
      </c>
      <c r="N31" s="82">
        <v>1.9</v>
      </c>
      <c r="O31" s="82">
        <f t="shared" si="1"/>
        <v>52.650000000000006</v>
      </c>
    </row>
    <row r="32" spans="1:15" ht="15" customHeight="1" x14ac:dyDescent="0.25">
      <c r="A32" s="82" t="s">
        <v>390</v>
      </c>
      <c r="B32" s="82" t="s">
        <v>360</v>
      </c>
      <c r="C32" s="82" t="s">
        <v>322</v>
      </c>
      <c r="D32" s="82" t="s">
        <v>62</v>
      </c>
      <c r="E32" s="82" t="s">
        <v>314</v>
      </c>
      <c r="F32" s="82" t="s">
        <v>382</v>
      </c>
      <c r="G32" s="82">
        <v>6.6</v>
      </c>
      <c r="H32" s="82">
        <v>11</v>
      </c>
      <c r="I32" s="83">
        <f t="shared" si="0"/>
        <v>60</v>
      </c>
      <c r="J32" s="82">
        <v>97.9</v>
      </c>
      <c r="K32" s="84">
        <v>17622</v>
      </c>
      <c r="L32" s="82">
        <v>0</v>
      </c>
      <c r="M32" s="82" t="s">
        <v>327</v>
      </c>
      <c r="N32" s="82">
        <v>2</v>
      </c>
      <c r="O32" s="82">
        <f t="shared" si="1"/>
        <v>49.090909090909086</v>
      </c>
    </row>
    <row r="33" spans="1:15" ht="15" customHeight="1" x14ac:dyDescent="0.25">
      <c r="A33" s="82" t="s">
        <v>391</v>
      </c>
      <c r="B33" s="82" t="s">
        <v>369</v>
      </c>
      <c r="C33" s="82" t="s">
        <v>312</v>
      </c>
      <c r="D33" s="82" t="s">
        <v>313</v>
      </c>
      <c r="E33" s="82" t="s">
        <v>323</v>
      </c>
      <c r="F33" s="82" t="s">
        <v>342</v>
      </c>
      <c r="G33" s="82">
        <v>7.7</v>
      </c>
      <c r="H33" s="82">
        <v>11</v>
      </c>
      <c r="I33" s="83">
        <f t="shared" si="0"/>
        <v>70</v>
      </c>
      <c r="J33" s="82">
        <v>117.6</v>
      </c>
      <c r="K33" s="84">
        <v>21168</v>
      </c>
      <c r="L33" s="82">
        <v>0</v>
      </c>
      <c r="M33" s="82" t="s">
        <v>327</v>
      </c>
      <c r="N33" s="82">
        <v>0.1</v>
      </c>
      <c r="O33" s="82">
        <f t="shared" si="1"/>
        <v>69.363636363636374</v>
      </c>
    </row>
    <row r="34" spans="1:15" ht="15" customHeight="1" x14ac:dyDescent="0.25">
      <c r="A34" s="82" t="s">
        <v>392</v>
      </c>
      <c r="B34" s="82" t="s">
        <v>71</v>
      </c>
      <c r="C34" s="82" t="s">
        <v>361</v>
      </c>
      <c r="D34" s="82" t="s">
        <v>119</v>
      </c>
      <c r="E34" s="82" t="s">
        <v>345</v>
      </c>
      <c r="F34" s="82" t="s">
        <v>338</v>
      </c>
      <c r="G34" s="82">
        <v>7</v>
      </c>
      <c r="H34" s="82">
        <v>12</v>
      </c>
      <c r="I34" s="83">
        <f t="shared" si="0"/>
        <v>58.333333333333336</v>
      </c>
      <c r="J34" s="82">
        <v>72.099999999999994</v>
      </c>
      <c r="K34" s="84">
        <v>12978</v>
      </c>
      <c r="L34" s="82">
        <v>0</v>
      </c>
      <c r="M34" s="82" t="s">
        <v>327</v>
      </c>
      <c r="N34" s="82">
        <v>0.6</v>
      </c>
      <c r="O34" s="82">
        <f t="shared" si="1"/>
        <v>55.416666666666664</v>
      </c>
    </row>
    <row r="35" spans="1:15" ht="15" customHeight="1" x14ac:dyDescent="0.25">
      <c r="A35" s="82" t="s">
        <v>393</v>
      </c>
      <c r="B35" s="82" t="s">
        <v>349</v>
      </c>
      <c r="C35" s="82" t="s">
        <v>317</v>
      </c>
      <c r="D35" s="82" t="s">
        <v>51</v>
      </c>
      <c r="E35" s="82" t="s">
        <v>379</v>
      </c>
      <c r="F35" s="82" t="s">
        <v>356</v>
      </c>
      <c r="G35" s="82">
        <v>5</v>
      </c>
      <c r="H35" s="82">
        <v>8</v>
      </c>
      <c r="I35" s="83">
        <f t="shared" si="0"/>
        <v>62.5</v>
      </c>
      <c r="J35" s="82">
        <v>43.4</v>
      </c>
      <c r="K35" s="84">
        <v>7812</v>
      </c>
      <c r="L35" s="82">
        <v>0</v>
      </c>
      <c r="M35" s="82" t="s">
        <v>327</v>
      </c>
      <c r="N35" s="82">
        <v>2</v>
      </c>
      <c r="O35" s="82">
        <f t="shared" si="1"/>
        <v>46.875</v>
      </c>
    </row>
    <row r="36" spans="1:15" ht="15" customHeight="1" x14ac:dyDescent="0.25">
      <c r="A36" s="82" t="s">
        <v>394</v>
      </c>
      <c r="B36" s="82" t="s">
        <v>67</v>
      </c>
      <c r="C36" s="82" t="s">
        <v>363</v>
      </c>
      <c r="D36" s="82" t="s">
        <v>103</v>
      </c>
      <c r="E36" s="82" t="s">
        <v>318</v>
      </c>
      <c r="F36" s="82" t="s">
        <v>308</v>
      </c>
      <c r="G36" s="82">
        <v>5.6</v>
      </c>
      <c r="H36" s="82">
        <v>11</v>
      </c>
      <c r="I36" s="83">
        <f t="shared" si="0"/>
        <v>50.909090909090907</v>
      </c>
      <c r="J36" s="82">
        <v>57</v>
      </c>
      <c r="K36" s="84">
        <v>10260</v>
      </c>
      <c r="L36" s="82">
        <v>0</v>
      </c>
      <c r="M36" s="82" t="s">
        <v>327</v>
      </c>
      <c r="N36" s="82">
        <v>1.5</v>
      </c>
      <c r="O36" s="82">
        <f t="shared" si="1"/>
        <v>43.966942148760332</v>
      </c>
    </row>
    <row r="37" spans="1:15" ht="15" customHeight="1" x14ac:dyDescent="0.25">
      <c r="A37" s="82" t="s">
        <v>395</v>
      </c>
      <c r="B37" s="82" t="s">
        <v>71</v>
      </c>
      <c r="C37" s="82" t="s">
        <v>363</v>
      </c>
      <c r="D37" s="82" t="s">
        <v>103</v>
      </c>
      <c r="E37" s="82" t="s">
        <v>384</v>
      </c>
      <c r="F37" s="82" t="s">
        <v>396</v>
      </c>
      <c r="G37" s="82">
        <v>8.8000000000000007</v>
      </c>
      <c r="H37" s="82">
        <v>12</v>
      </c>
      <c r="I37" s="83">
        <f t="shared" si="0"/>
        <v>73.333333333333343</v>
      </c>
      <c r="J37" s="82">
        <v>129.6</v>
      </c>
      <c r="K37" s="84">
        <v>23328</v>
      </c>
      <c r="L37" s="82">
        <v>0</v>
      </c>
      <c r="M37" s="82" t="s">
        <v>327</v>
      </c>
      <c r="N37" s="82">
        <v>0.4</v>
      </c>
      <c r="O37" s="82">
        <f t="shared" si="1"/>
        <v>70.8888888888889</v>
      </c>
    </row>
    <row r="38" spans="1:15" ht="15" customHeight="1" x14ac:dyDescent="0.25">
      <c r="A38" s="82" t="s">
        <v>397</v>
      </c>
      <c r="B38" s="82" t="s">
        <v>304</v>
      </c>
      <c r="C38" s="82" t="s">
        <v>363</v>
      </c>
      <c r="D38" s="82" t="s">
        <v>103</v>
      </c>
      <c r="E38" s="82" t="s">
        <v>379</v>
      </c>
      <c r="F38" s="82" t="s">
        <v>398</v>
      </c>
      <c r="G38" s="82">
        <v>4.4000000000000004</v>
      </c>
      <c r="H38" s="82">
        <v>10</v>
      </c>
      <c r="I38" s="83">
        <f t="shared" si="0"/>
        <v>44.000000000000007</v>
      </c>
      <c r="J38" s="82">
        <v>76.900000000000006</v>
      </c>
      <c r="K38" s="84">
        <v>13842</v>
      </c>
      <c r="L38" s="82">
        <v>1</v>
      </c>
      <c r="M38" s="82" t="s">
        <v>399</v>
      </c>
      <c r="N38" s="82">
        <v>4.0999999999999996</v>
      </c>
      <c r="O38" s="82">
        <f t="shared" si="1"/>
        <v>25.960000000000008</v>
      </c>
    </row>
    <row r="39" spans="1:15" ht="15" customHeight="1" x14ac:dyDescent="0.25">
      <c r="A39" s="82" t="s">
        <v>400</v>
      </c>
      <c r="B39" s="82" t="s">
        <v>360</v>
      </c>
      <c r="C39" s="82" t="s">
        <v>340</v>
      </c>
      <c r="D39" s="82" t="s">
        <v>341</v>
      </c>
      <c r="E39" s="82" t="s">
        <v>325</v>
      </c>
      <c r="F39" s="82" t="s">
        <v>389</v>
      </c>
      <c r="G39" s="82">
        <v>9.6</v>
      </c>
      <c r="H39" s="82">
        <v>10</v>
      </c>
      <c r="I39" s="83">
        <f t="shared" si="0"/>
        <v>96</v>
      </c>
      <c r="J39" s="82">
        <v>141.19999999999999</v>
      </c>
      <c r="K39" s="84">
        <v>25416</v>
      </c>
      <c r="L39" s="82">
        <v>0</v>
      </c>
      <c r="M39" s="82" t="s">
        <v>327</v>
      </c>
      <c r="N39" s="82">
        <v>1.2</v>
      </c>
      <c r="O39" s="82">
        <f t="shared" si="1"/>
        <v>84.48</v>
      </c>
    </row>
    <row r="40" spans="1:15" ht="15" customHeight="1" x14ac:dyDescent="0.25">
      <c r="A40" s="82" t="s">
        <v>401</v>
      </c>
      <c r="B40" s="82" t="s">
        <v>311</v>
      </c>
      <c r="C40" s="82" t="s">
        <v>305</v>
      </c>
      <c r="D40" s="82" t="s">
        <v>306</v>
      </c>
      <c r="E40" s="82" t="s">
        <v>314</v>
      </c>
      <c r="F40" s="82" t="s">
        <v>402</v>
      </c>
      <c r="G40" s="82">
        <v>7.8</v>
      </c>
      <c r="H40" s="82">
        <v>12</v>
      </c>
      <c r="I40" s="83">
        <f t="shared" si="0"/>
        <v>65</v>
      </c>
      <c r="J40" s="82">
        <v>128.6</v>
      </c>
      <c r="K40" s="84">
        <v>23148</v>
      </c>
      <c r="L40" s="82">
        <v>0</v>
      </c>
      <c r="M40" s="82" t="s">
        <v>309</v>
      </c>
      <c r="N40" s="82">
        <v>2.4</v>
      </c>
      <c r="O40" s="82">
        <f t="shared" si="1"/>
        <v>52</v>
      </c>
    </row>
    <row r="41" spans="1:15" ht="15" customHeight="1" x14ac:dyDescent="0.25">
      <c r="A41" s="82" t="s">
        <v>403</v>
      </c>
      <c r="B41" s="82" t="s">
        <v>67</v>
      </c>
      <c r="C41" s="82" t="s">
        <v>340</v>
      </c>
      <c r="D41" s="82" t="s">
        <v>341</v>
      </c>
      <c r="E41" s="82" t="s">
        <v>379</v>
      </c>
      <c r="F41" s="82" t="s">
        <v>338</v>
      </c>
      <c r="G41" s="82">
        <v>8.1999999999999993</v>
      </c>
      <c r="H41" s="82">
        <v>12</v>
      </c>
      <c r="I41" s="83">
        <f t="shared" si="0"/>
        <v>68.333333333333329</v>
      </c>
      <c r="J41" s="82">
        <v>97.5</v>
      </c>
      <c r="K41" s="84">
        <v>17550</v>
      </c>
      <c r="L41" s="82">
        <v>0</v>
      </c>
      <c r="M41" s="82" t="s">
        <v>327</v>
      </c>
      <c r="N41" s="82">
        <v>0.2</v>
      </c>
      <c r="O41" s="82">
        <f t="shared" si="1"/>
        <v>67.194444444444443</v>
      </c>
    </row>
    <row r="42" spans="1:15" ht="15" customHeight="1" x14ac:dyDescent="0.25">
      <c r="A42" s="82" t="s">
        <v>404</v>
      </c>
      <c r="B42" s="82" t="s">
        <v>386</v>
      </c>
      <c r="C42" s="82" t="s">
        <v>322</v>
      </c>
      <c r="D42" s="82" t="s">
        <v>62</v>
      </c>
      <c r="E42" s="82" t="s">
        <v>307</v>
      </c>
      <c r="F42" s="82" t="s">
        <v>342</v>
      </c>
      <c r="G42" s="82">
        <v>4.3</v>
      </c>
      <c r="H42" s="82">
        <v>9</v>
      </c>
      <c r="I42" s="83">
        <f t="shared" si="0"/>
        <v>47.777777777777771</v>
      </c>
      <c r="J42" s="82">
        <v>50.6</v>
      </c>
      <c r="K42" s="84">
        <v>9108</v>
      </c>
      <c r="L42" s="82">
        <v>0</v>
      </c>
      <c r="M42" s="82" t="s">
        <v>327</v>
      </c>
      <c r="N42" s="82">
        <v>0.2</v>
      </c>
      <c r="O42" s="82">
        <f t="shared" si="1"/>
        <v>46.716049382716044</v>
      </c>
    </row>
    <row r="43" spans="1:15" ht="15" customHeight="1" x14ac:dyDescent="0.25">
      <c r="A43" s="82" t="s">
        <v>405</v>
      </c>
      <c r="B43" s="82" t="s">
        <v>321</v>
      </c>
      <c r="C43" s="82" t="s">
        <v>340</v>
      </c>
      <c r="D43" s="82" t="s">
        <v>341</v>
      </c>
      <c r="E43" s="82" t="s">
        <v>337</v>
      </c>
      <c r="F43" s="82" t="s">
        <v>406</v>
      </c>
      <c r="G43" s="82">
        <v>8.3000000000000007</v>
      </c>
      <c r="H43" s="82">
        <v>9</v>
      </c>
      <c r="I43" s="83">
        <f t="shared" si="0"/>
        <v>92.222222222222229</v>
      </c>
      <c r="J43" s="82">
        <v>94</v>
      </c>
      <c r="K43" s="84">
        <v>16920</v>
      </c>
      <c r="L43" s="82">
        <v>1</v>
      </c>
      <c r="M43" s="82" t="s">
        <v>327</v>
      </c>
      <c r="N43" s="82">
        <v>5.7</v>
      </c>
      <c r="O43" s="82">
        <f t="shared" si="1"/>
        <v>33.814814814814817</v>
      </c>
    </row>
    <row r="44" spans="1:15" ht="15" customHeight="1" x14ac:dyDescent="0.25">
      <c r="A44" s="82" t="s">
        <v>407</v>
      </c>
      <c r="B44" s="82" t="s">
        <v>349</v>
      </c>
      <c r="C44" s="82" t="s">
        <v>361</v>
      </c>
      <c r="D44" s="82" t="s">
        <v>119</v>
      </c>
      <c r="E44" s="82" t="s">
        <v>408</v>
      </c>
      <c r="F44" s="82" t="s">
        <v>347</v>
      </c>
      <c r="G44" s="82">
        <v>9.6</v>
      </c>
      <c r="H44" s="82">
        <v>12</v>
      </c>
      <c r="I44" s="83">
        <f t="shared" si="0"/>
        <v>80</v>
      </c>
      <c r="J44" s="82">
        <v>114.9</v>
      </c>
      <c r="K44" s="84">
        <v>20682</v>
      </c>
      <c r="L44" s="82">
        <v>0</v>
      </c>
      <c r="M44" s="82" t="s">
        <v>327</v>
      </c>
      <c r="N44" s="82">
        <v>0.8</v>
      </c>
      <c r="O44" s="82">
        <f t="shared" si="1"/>
        <v>74.666666666666671</v>
      </c>
    </row>
    <row r="45" spans="1:15" ht="15" customHeight="1" x14ac:dyDescent="0.25">
      <c r="A45" s="82" t="s">
        <v>409</v>
      </c>
      <c r="B45" s="82" t="s">
        <v>386</v>
      </c>
      <c r="C45" s="82" t="s">
        <v>340</v>
      </c>
      <c r="D45" s="82" t="s">
        <v>341</v>
      </c>
      <c r="E45" s="82" t="s">
        <v>410</v>
      </c>
      <c r="F45" s="82" t="s">
        <v>398</v>
      </c>
      <c r="G45" s="82">
        <v>6.2</v>
      </c>
      <c r="H45" s="82">
        <v>10</v>
      </c>
      <c r="I45" s="83">
        <f t="shared" si="0"/>
        <v>62</v>
      </c>
      <c r="J45" s="82">
        <v>104.3</v>
      </c>
      <c r="K45" s="84">
        <v>18774</v>
      </c>
      <c r="L45" s="82">
        <v>0</v>
      </c>
      <c r="M45" s="82" t="s">
        <v>309</v>
      </c>
      <c r="N45" s="82">
        <v>2.2000000000000002</v>
      </c>
      <c r="O45" s="82">
        <f t="shared" si="1"/>
        <v>48.36</v>
      </c>
    </row>
    <row r="46" spans="1:15" ht="15" customHeight="1" x14ac:dyDescent="0.25">
      <c r="A46" s="82" t="s">
        <v>411</v>
      </c>
      <c r="B46" s="82" t="s">
        <v>369</v>
      </c>
      <c r="C46" s="82" t="s">
        <v>363</v>
      </c>
      <c r="D46" s="82" t="s">
        <v>103</v>
      </c>
      <c r="E46" s="82" t="s">
        <v>410</v>
      </c>
      <c r="F46" s="82" t="s">
        <v>396</v>
      </c>
      <c r="G46" s="82">
        <v>4.3</v>
      </c>
      <c r="H46" s="82">
        <v>11</v>
      </c>
      <c r="I46" s="83">
        <f t="shared" si="0"/>
        <v>39.090909090909086</v>
      </c>
      <c r="J46" s="82">
        <v>71.599999999999994</v>
      </c>
      <c r="K46" s="84">
        <v>12888</v>
      </c>
      <c r="L46" s="82">
        <v>0</v>
      </c>
      <c r="M46" s="82" t="s">
        <v>327</v>
      </c>
      <c r="N46" s="82">
        <v>1.7</v>
      </c>
      <c r="O46" s="82">
        <f t="shared" si="1"/>
        <v>33.049586776859499</v>
      </c>
    </row>
    <row r="47" spans="1:15" ht="15" customHeight="1" x14ac:dyDescent="0.25">
      <c r="A47" s="82" t="s">
        <v>412</v>
      </c>
      <c r="B47" s="82" t="s">
        <v>321</v>
      </c>
      <c r="C47" s="82" t="s">
        <v>329</v>
      </c>
      <c r="D47" s="82" t="s">
        <v>330</v>
      </c>
      <c r="E47" s="82" t="s">
        <v>379</v>
      </c>
      <c r="F47" s="82" t="s">
        <v>398</v>
      </c>
      <c r="G47" s="82">
        <v>5</v>
      </c>
      <c r="H47" s="82">
        <v>9</v>
      </c>
      <c r="I47" s="83">
        <f t="shared" si="0"/>
        <v>55.555555555555557</v>
      </c>
      <c r="J47" s="82">
        <v>51.5</v>
      </c>
      <c r="K47" s="84">
        <v>9270</v>
      </c>
      <c r="L47" s="82">
        <v>0</v>
      </c>
      <c r="M47" s="82" t="s">
        <v>327</v>
      </c>
      <c r="N47" s="82">
        <v>1.7</v>
      </c>
      <c r="O47" s="82">
        <f t="shared" si="1"/>
        <v>45.061728395061728</v>
      </c>
    </row>
    <row r="48" spans="1:15" ht="15" customHeight="1" x14ac:dyDescent="0.25">
      <c r="A48" s="82" t="s">
        <v>413</v>
      </c>
      <c r="B48" s="82" t="s">
        <v>369</v>
      </c>
      <c r="C48" s="82" t="s">
        <v>305</v>
      </c>
      <c r="D48" s="82" t="s">
        <v>306</v>
      </c>
      <c r="E48" s="82" t="s">
        <v>325</v>
      </c>
      <c r="F48" s="82" t="s">
        <v>364</v>
      </c>
      <c r="G48" s="82">
        <v>7.2</v>
      </c>
      <c r="H48" s="82">
        <v>11</v>
      </c>
      <c r="I48" s="83">
        <f t="shared" si="0"/>
        <v>65.454545454545453</v>
      </c>
      <c r="J48" s="82">
        <v>110.4</v>
      </c>
      <c r="K48" s="84">
        <v>19872</v>
      </c>
      <c r="L48" s="82">
        <v>0</v>
      </c>
      <c r="M48" s="82" t="s">
        <v>327</v>
      </c>
      <c r="N48" s="82">
        <v>1.6</v>
      </c>
      <c r="O48" s="82">
        <f t="shared" si="1"/>
        <v>55.933884297520656</v>
      </c>
    </row>
    <row r="49" spans="1:15" ht="15" customHeight="1" x14ac:dyDescent="0.25">
      <c r="A49" s="82" t="s">
        <v>414</v>
      </c>
      <c r="B49" s="82" t="s">
        <v>311</v>
      </c>
      <c r="C49" s="82" t="s">
        <v>340</v>
      </c>
      <c r="D49" s="82" t="s">
        <v>341</v>
      </c>
      <c r="E49" s="82" t="s">
        <v>318</v>
      </c>
      <c r="F49" s="82" t="s">
        <v>367</v>
      </c>
      <c r="G49" s="82">
        <v>7.4</v>
      </c>
      <c r="H49" s="82">
        <v>8</v>
      </c>
      <c r="I49" s="83">
        <f t="shared" si="0"/>
        <v>92.5</v>
      </c>
      <c r="J49" s="82">
        <v>64.7</v>
      </c>
      <c r="K49" s="84">
        <v>11646</v>
      </c>
      <c r="L49" s="82">
        <v>0</v>
      </c>
      <c r="M49" s="82" t="s">
        <v>327</v>
      </c>
      <c r="N49" s="82">
        <v>0</v>
      </c>
      <c r="O49" s="82">
        <f t="shared" si="1"/>
        <v>92.5</v>
      </c>
    </row>
    <row r="50" spans="1:15" ht="15" customHeight="1" x14ac:dyDescent="0.25">
      <c r="A50" s="82" t="s">
        <v>415</v>
      </c>
      <c r="B50" s="82" t="s">
        <v>311</v>
      </c>
      <c r="C50" s="82" t="s">
        <v>363</v>
      </c>
      <c r="D50" s="82" t="s">
        <v>103</v>
      </c>
      <c r="E50" s="82" t="s">
        <v>307</v>
      </c>
      <c r="F50" s="82" t="s">
        <v>347</v>
      </c>
      <c r="G50" s="82">
        <v>4</v>
      </c>
      <c r="H50" s="82">
        <v>9</v>
      </c>
      <c r="I50" s="83">
        <f t="shared" si="0"/>
        <v>44.444444444444443</v>
      </c>
      <c r="J50" s="82">
        <v>52.2</v>
      </c>
      <c r="K50" s="84">
        <v>9396</v>
      </c>
      <c r="L50" s="82">
        <v>0</v>
      </c>
      <c r="M50" s="82" t="s">
        <v>309</v>
      </c>
      <c r="N50" s="82">
        <v>2</v>
      </c>
      <c r="O50" s="82">
        <f t="shared" si="1"/>
        <v>34.567901234567898</v>
      </c>
    </row>
    <row r="51" spans="1:15" ht="15" customHeight="1" x14ac:dyDescent="0.25">
      <c r="A51" s="82" t="s">
        <v>416</v>
      </c>
      <c r="B51" s="82" t="s">
        <v>321</v>
      </c>
      <c r="C51" s="82" t="s">
        <v>361</v>
      </c>
      <c r="D51" s="82" t="s">
        <v>119</v>
      </c>
      <c r="E51" s="82" t="s">
        <v>325</v>
      </c>
      <c r="F51" s="82" t="s">
        <v>326</v>
      </c>
      <c r="G51" s="82">
        <v>6.1</v>
      </c>
      <c r="H51" s="82">
        <v>8</v>
      </c>
      <c r="I51" s="83">
        <f t="shared" si="0"/>
        <v>76.25</v>
      </c>
      <c r="J51" s="82">
        <v>73.900000000000006</v>
      </c>
      <c r="K51" s="84">
        <v>13302</v>
      </c>
      <c r="L51" s="82">
        <v>0</v>
      </c>
      <c r="M51" s="82" t="s">
        <v>309</v>
      </c>
      <c r="N51" s="82">
        <v>1.6</v>
      </c>
      <c r="O51" s="82">
        <f t="shared" si="1"/>
        <v>61</v>
      </c>
    </row>
    <row r="52" spans="1:15" ht="15" customHeight="1" x14ac:dyDescent="0.25">
      <c r="A52" s="82" t="s">
        <v>417</v>
      </c>
      <c r="B52" s="82" t="s">
        <v>71</v>
      </c>
      <c r="C52" s="82" t="s">
        <v>317</v>
      </c>
      <c r="D52" s="82" t="s">
        <v>51</v>
      </c>
      <c r="E52" s="82" t="s">
        <v>381</v>
      </c>
      <c r="F52" s="82" t="s">
        <v>347</v>
      </c>
      <c r="G52" s="82">
        <v>9.6</v>
      </c>
      <c r="H52" s="82">
        <v>11</v>
      </c>
      <c r="I52" s="83">
        <f t="shared" si="0"/>
        <v>87.272727272727266</v>
      </c>
      <c r="J52" s="82">
        <v>164.1</v>
      </c>
      <c r="K52" s="84">
        <v>29538</v>
      </c>
      <c r="L52" s="82">
        <v>0</v>
      </c>
      <c r="M52" s="82" t="s">
        <v>327</v>
      </c>
      <c r="N52" s="82">
        <v>0.4</v>
      </c>
      <c r="O52" s="82">
        <f t="shared" si="1"/>
        <v>84.099173553718998</v>
      </c>
    </row>
    <row r="53" spans="1:15" ht="15" customHeight="1" x14ac:dyDescent="0.25">
      <c r="A53" s="82" t="s">
        <v>418</v>
      </c>
      <c r="B53" s="82" t="s">
        <v>371</v>
      </c>
      <c r="C53" s="82" t="s">
        <v>329</v>
      </c>
      <c r="D53" s="82" t="s">
        <v>330</v>
      </c>
      <c r="E53" s="82" t="s">
        <v>381</v>
      </c>
      <c r="F53" s="82" t="s">
        <v>331</v>
      </c>
      <c r="G53" s="82">
        <v>5.6</v>
      </c>
      <c r="H53" s="82">
        <v>10</v>
      </c>
      <c r="I53" s="83">
        <f t="shared" si="0"/>
        <v>55.999999999999993</v>
      </c>
      <c r="J53" s="82">
        <v>67</v>
      </c>
      <c r="K53" s="84">
        <v>12060</v>
      </c>
      <c r="L53" s="82">
        <v>0</v>
      </c>
      <c r="M53" s="82" t="s">
        <v>327</v>
      </c>
      <c r="N53" s="82">
        <v>1.7</v>
      </c>
      <c r="O53" s="82">
        <f t="shared" si="1"/>
        <v>46.48</v>
      </c>
    </row>
    <row r="54" spans="1:15" ht="15" customHeight="1" x14ac:dyDescent="0.25">
      <c r="A54" s="82" t="s">
        <v>419</v>
      </c>
      <c r="B54" s="82" t="s">
        <v>371</v>
      </c>
      <c r="C54" s="82" t="s">
        <v>305</v>
      </c>
      <c r="D54" s="82" t="s">
        <v>306</v>
      </c>
      <c r="E54" s="82" t="s">
        <v>307</v>
      </c>
      <c r="F54" s="82" t="s">
        <v>352</v>
      </c>
      <c r="G54" s="82">
        <v>4.4000000000000004</v>
      </c>
      <c r="H54" s="82">
        <v>8</v>
      </c>
      <c r="I54" s="83">
        <f t="shared" si="0"/>
        <v>55.000000000000007</v>
      </c>
      <c r="J54" s="82">
        <v>51.9</v>
      </c>
      <c r="K54" s="84">
        <v>9342</v>
      </c>
      <c r="L54" s="82">
        <v>0</v>
      </c>
      <c r="M54" s="82" t="s">
        <v>327</v>
      </c>
      <c r="N54" s="82">
        <v>0</v>
      </c>
      <c r="O54" s="82">
        <f t="shared" si="1"/>
        <v>55.000000000000007</v>
      </c>
    </row>
    <row r="55" spans="1:15" ht="15" customHeight="1" x14ac:dyDescent="0.25">
      <c r="A55" s="82" t="s">
        <v>420</v>
      </c>
      <c r="B55" s="82" t="s">
        <v>311</v>
      </c>
      <c r="C55" s="82" t="s">
        <v>312</v>
      </c>
      <c r="D55" s="82" t="s">
        <v>313</v>
      </c>
      <c r="E55" s="82" t="s">
        <v>325</v>
      </c>
      <c r="F55" s="82" t="s">
        <v>338</v>
      </c>
      <c r="G55" s="82">
        <v>7.4</v>
      </c>
      <c r="H55" s="82">
        <v>10</v>
      </c>
      <c r="I55" s="83">
        <f t="shared" si="0"/>
        <v>74</v>
      </c>
      <c r="J55" s="82">
        <v>122.7</v>
      </c>
      <c r="K55" s="84">
        <v>22086</v>
      </c>
      <c r="L55" s="82">
        <v>0</v>
      </c>
      <c r="M55" s="82" t="s">
        <v>327</v>
      </c>
      <c r="N55" s="82">
        <v>0.1</v>
      </c>
      <c r="O55" s="82">
        <f t="shared" si="1"/>
        <v>73.260000000000005</v>
      </c>
    </row>
    <row r="56" spans="1:15" ht="15" customHeight="1" x14ac:dyDescent="0.25">
      <c r="A56" s="82" t="s">
        <v>421</v>
      </c>
      <c r="B56" s="82" t="s">
        <v>371</v>
      </c>
      <c r="C56" s="82" t="s">
        <v>329</v>
      </c>
      <c r="D56" s="82" t="s">
        <v>330</v>
      </c>
      <c r="E56" s="82" t="s">
        <v>325</v>
      </c>
      <c r="F56" s="82" t="s">
        <v>331</v>
      </c>
      <c r="G56" s="82">
        <v>7.7</v>
      </c>
      <c r="H56" s="82">
        <v>8</v>
      </c>
      <c r="I56" s="83">
        <f t="shared" si="0"/>
        <v>96.25</v>
      </c>
      <c r="J56" s="82">
        <v>114.3</v>
      </c>
      <c r="K56" s="84">
        <v>20574</v>
      </c>
      <c r="L56" s="82">
        <v>0</v>
      </c>
      <c r="M56" s="82" t="s">
        <v>327</v>
      </c>
      <c r="N56" s="82">
        <v>2</v>
      </c>
      <c r="O56" s="82">
        <f t="shared" si="1"/>
        <v>72.1875</v>
      </c>
    </row>
    <row r="57" spans="1:15" ht="15" customHeight="1" x14ac:dyDescent="0.25">
      <c r="A57" s="82" t="s">
        <v>422</v>
      </c>
      <c r="B57" s="82" t="s">
        <v>311</v>
      </c>
      <c r="C57" s="82" t="s">
        <v>322</v>
      </c>
      <c r="D57" s="82" t="s">
        <v>62</v>
      </c>
      <c r="E57" s="82" t="s">
        <v>423</v>
      </c>
      <c r="F57" s="82" t="s">
        <v>424</v>
      </c>
      <c r="G57" s="82">
        <v>5.2</v>
      </c>
      <c r="H57" s="82">
        <v>12</v>
      </c>
      <c r="I57" s="83">
        <f t="shared" si="0"/>
        <v>43.333333333333336</v>
      </c>
      <c r="J57" s="82">
        <v>84.3</v>
      </c>
      <c r="K57" s="84">
        <v>15174</v>
      </c>
      <c r="L57" s="82">
        <v>0</v>
      </c>
      <c r="M57" s="82" t="s">
        <v>399</v>
      </c>
      <c r="N57" s="82">
        <v>0.9</v>
      </c>
      <c r="O57" s="82">
        <f t="shared" si="1"/>
        <v>40.083333333333336</v>
      </c>
    </row>
    <row r="58" spans="1:15" ht="15" customHeight="1" x14ac:dyDescent="0.25">
      <c r="A58" s="82" t="s">
        <v>425</v>
      </c>
      <c r="B58" s="82" t="s">
        <v>321</v>
      </c>
      <c r="C58" s="82" t="s">
        <v>363</v>
      </c>
      <c r="D58" s="82" t="s">
        <v>103</v>
      </c>
      <c r="E58" s="82" t="s">
        <v>384</v>
      </c>
      <c r="F58" s="82" t="s">
        <v>308</v>
      </c>
      <c r="G58" s="82">
        <v>6.7</v>
      </c>
      <c r="H58" s="82">
        <v>12</v>
      </c>
      <c r="I58" s="83">
        <f t="shared" si="0"/>
        <v>55.833333333333336</v>
      </c>
      <c r="J58" s="82">
        <v>104.2</v>
      </c>
      <c r="K58" s="84">
        <v>18756</v>
      </c>
      <c r="L58" s="82">
        <v>0</v>
      </c>
      <c r="M58" s="82" t="s">
        <v>343</v>
      </c>
      <c r="N58" s="82">
        <v>2.2000000000000002</v>
      </c>
      <c r="O58" s="82">
        <f t="shared" si="1"/>
        <v>45.597222222222221</v>
      </c>
    </row>
    <row r="59" spans="1:15" ht="15" customHeight="1" x14ac:dyDescent="0.25">
      <c r="A59" s="82" t="s">
        <v>426</v>
      </c>
      <c r="B59" s="82" t="s">
        <v>304</v>
      </c>
      <c r="C59" s="82" t="s">
        <v>322</v>
      </c>
      <c r="D59" s="82" t="s">
        <v>62</v>
      </c>
      <c r="E59" s="82" t="s">
        <v>318</v>
      </c>
      <c r="F59" s="82" t="s">
        <v>427</v>
      </c>
      <c r="G59" s="82">
        <v>5.6</v>
      </c>
      <c r="H59" s="82">
        <v>11</v>
      </c>
      <c r="I59" s="83">
        <f t="shared" si="0"/>
        <v>50.909090909090907</v>
      </c>
      <c r="J59" s="82">
        <v>49.1</v>
      </c>
      <c r="K59" s="84">
        <v>8838</v>
      </c>
      <c r="L59" s="82">
        <v>0</v>
      </c>
      <c r="M59" s="82" t="s">
        <v>309</v>
      </c>
      <c r="N59" s="82">
        <v>1.8</v>
      </c>
      <c r="O59" s="82">
        <f t="shared" si="1"/>
        <v>42.578512396694215</v>
      </c>
    </row>
    <row r="60" spans="1:15" ht="15" customHeight="1" x14ac:dyDescent="0.25">
      <c r="A60" s="82" t="s">
        <v>428</v>
      </c>
      <c r="B60" s="82" t="s">
        <v>369</v>
      </c>
      <c r="C60" s="82" t="s">
        <v>317</v>
      </c>
      <c r="D60" s="82" t="s">
        <v>51</v>
      </c>
      <c r="E60" s="82" t="s">
        <v>376</v>
      </c>
      <c r="F60" s="82" t="s">
        <v>382</v>
      </c>
      <c r="G60" s="82">
        <v>5.6</v>
      </c>
      <c r="H60" s="82">
        <v>11</v>
      </c>
      <c r="I60" s="83">
        <f t="shared" si="0"/>
        <v>50.909090909090907</v>
      </c>
      <c r="J60" s="82">
        <v>75.8</v>
      </c>
      <c r="K60" s="84">
        <v>13644</v>
      </c>
      <c r="L60" s="82">
        <v>0</v>
      </c>
      <c r="M60" s="82" t="s">
        <v>327</v>
      </c>
      <c r="N60" s="82">
        <v>1.8</v>
      </c>
      <c r="O60" s="82">
        <f t="shared" si="1"/>
        <v>42.578512396694215</v>
      </c>
    </row>
    <row r="61" spans="1:15" ht="15" customHeight="1" x14ac:dyDescent="0.25">
      <c r="A61" s="82" t="s">
        <v>429</v>
      </c>
      <c r="B61" s="82" t="s">
        <v>360</v>
      </c>
      <c r="C61" s="82" t="s">
        <v>312</v>
      </c>
      <c r="D61" s="82" t="s">
        <v>313</v>
      </c>
      <c r="E61" s="82" t="s">
        <v>372</v>
      </c>
      <c r="F61" s="82" t="s">
        <v>398</v>
      </c>
      <c r="G61" s="82">
        <v>7.6</v>
      </c>
      <c r="H61" s="82">
        <v>9</v>
      </c>
      <c r="I61" s="83">
        <f t="shared" si="0"/>
        <v>84.444444444444443</v>
      </c>
      <c r="J61" s="82">
        <v>67</v>
      </c>
      <c r="K61" s="84">
        <v>12060</v>
      </c>
      <c r="L61" s="82">
        <v>0</v>
      </c>
      <c r="M61" s="82" t="s">
        <v>309</v>
      </c>
      <c r="N61" s="82">
        <v>1.9</v>
      </c>
      <c r="O61" s="82">
        <f t="shared" si="1"/>
        <v>66.617283950617278</v>
      </c>
    </row>
    <row r="62" spans="1:15" ht="15" customHeight="1" x14ac:dyDescent="0.25">
      <c r="A62" s="82" t="s">
        <v>430</v>
      </c>
      <c r="B62" s="82" t="s">
        <v>360</v>
      </c>
      <c r="C62" s="82" t="s">
        <v>322</v>
      </c>
      <c r="D62" s="82" t="s">
        <v>62</v>
      </c>
      <c r="E62" s="82" t="s">
        <v>410</v>
      </c>
      <c r="F62" s="82" t="s">
        <v>427</v>
      </c>
      <c r="G62" s="82">
        <v>4</v>
      </c>
      <c r="H62" s="82">
        <v>8</v>
      </c>
      <c r="I62" s="83">
        <f t="shared" si="0"/>
        <v>50</v>
      </c>
      <c r="J62" s="82">
        <v>44.3</v>
      </c>
      <c r="K62" s="84">
        <v>7974</v>
      </c>
      <c r="L62" s="82">
        <v>0</v>
      </c>
      <c r="M62" s="82" t="s">
        <v>327</v>
      </c>
      <c r="N62" s="82">
        <v>0.4</v>
      </c>
      <c r="O62" s="82">
        <f t="shared" si="1"/>
        <v>47.5</v>
      </c>
    </row>
    <row r="63" spans="1:15" ht="15" customHeight="1" x14ac:dyDescent="0.25">
      <c r="A63" s="82" t="s">
        <v>431</v>
      </c>
      <c r="B63" s="82" t="s">
        <v>311</v>
      </c>
      <c r="C63" s="82" t="s">
        <v>333</v>
      </c>
      <c r="D63" s="82" t="s">
        <v>86</v>
      </c>
      <c r="E63" s="82" t="s">
        <v>351</v>
      </c>
      <c r="F63" s="82" t="s">
        <v>342</v>
      </c>
      <c r="G63" s="82">
        <v>8.1</v>
      </c>
      <c r="H63" s="82">
        <v>12</v>
      </c>
      <c r="I63" s="83">
        <f t="shared" si="0"/>
        <v>67.5</v>
      </c>
      <c r="J63" s="82">
        <v>73.2</v>
      </c>
      <c r="K63" s="84">
        <v>13176</v>
      </c>
      <c r="L63" s="82">
        <v>0</v>
      </c>
      <c r="M63" s="82" t="s">
        <v>327</v>
      </c>
      <c r="N63" s="82">
        <v>1.8</v>
      </c>
      <c r="O63" s="82">
        <f t="shared" si="1"/>
        <v>57.375</v>
      </c>
    </row>
    <row r="64" spans="1:15" ht="15" customHeight="1" x14ac:dyDescent="0.25">
      <c r="A64" s="82" t="s">
        <v>432</v>
      </c>
      <c r="B64" s="82" t="s">
        <v>369</v>
      </c>
      <c r="C64" s="82" t="s">
        <v>333</v>
      </c>
      <c r="D64" s="82" t="s">
        <v>86</v>
      </c>
      <c r="E64" s="82" t="s">
        <v>423</v>
      </c>
      <c r="F64" s="82" t="s">
        <v>398</v>
      </c>
      <c r="G64" s="82">
        <v>6.7</v>
      </c>
      <c r="H64" s="82">
        <v>11</v>
      </c>
      <c r="I64" s="83">
        <f t="shared" si="0"/>
        <v>60.909090909090914</v>
      </c>
      <c r="J64" s="82">
        <v>59.3</v>
      </c>
      <c r="K64" s="84">
        <v>10674</v>
      </c>
      <c r="L64" s="82">
        <v>1</v>
      </c>
      <c r="M64" s="82" t="s">
        <v>399</v>
      </c>
      <c r="N64" s="82">
        <v>5.9</v>
      </c>
      <c r="O64" s="82">
        <f t="shared" si="1"/>
        <v>28.239669421487605</v>
      </c>
    </row>
    <row r="65" spans="1:15" ht="15" customHeight="1" x14ac:dyDescent="0.25">
      <c r="A65" s="82" t="s">
        <v>433</v>
      </c>
      <c r="B65" s="82" t="s">
        <v>321</v>
      </c>
      <c r="C65" s="82" t="s">
        <v>340</v>
      </c>
      <c r="D65" s="82" t="s">
        <v>341</v>
      </c>
      <c r="E65" s="82" t="s">
        <v>323</v>
      </c>
      <c r="F65" s="82" t="s">
        <v>335</v>
      </c>
      <c r="G65" s="82">
        <v>5.2</v>
      </c>
      <c r="H65" s="82">
        <v>11</v>
      </c>
      <c r="I65" s="83">
        <f t="shared" si="0"/>
        <v>47.272727272727273</v>
      </c>
      <c r="J65" s="82">
        <v>55.6</v>
      </c>
      <c r="K65" s="84">
        <v>10008</v>
      </c>
      <c r="L65" s="82">
        <v>0</v>
      </c>
      <c r="M65" s="82" t="s">
        <v>327</v>
      </c>
      <c r="N65" s="82">
        <v>0.5</v>
      </c>
      <c r="O65" s="82">
        <f t="shared" si="1"/>
        <v>45.123966942148762</v>
      </c>
    </row>
    <row r="66" spans="1:15" ht="15" customHeight="1" x14ac:dyDescent="0.25">
      <c r="A66" s="82" t="s">
        <v>434</v>
      </c>
      <c r="B66" s="82" t="s">
        <v>71</v>
      </c>
      <c r="C66" s="82" t="s">
        <v>333</v>
      </c>
      <c r="D66" s="82" t="s">
        <v>86</v>
      </c>
      <c r="E66" s="82" t="s">
        <v>435</v>
      </c>
      <c r="F66" s="82" t="s">
        <v>406</v>
      </c>
      <c r="G66" s="82">
        <v>5.4</v>
      </c>
      <c r="H66" s="82">
        <v>8</v>
      </c>
      <c r="I66" s="83">
        <f t="shared" ref="I66:I129" si="2">IF(H66&gt;0,G66/H66*100,0)</f>
        <v>67.5</v>
      </c>
      <c r="J66" s="82">
        <v>94.2</v>
      </c>
      <c r="K66" s="84">
        <v>16956</v>
      </c>
      <c r="L66" s="82">
        <v>0</v>
      </c>
      <c r="M66" s="82" t="s">
        <v>327</v>
      </c>
      <c r="N66" s="82">
        <v>1.9</v>
      </c>
      <c r="O66" s="82">
        <f t="shared" ref="O66:O129" si="3">IF(I66&gt;0,I66*(1-N66/H66),0)</f>
        <v>51.46875</v>
      </c>
    </row>
    <row r="67" spans="1:15" ht="15" customHeight="1" x14ac:dyDescent="0.25">
      <c r="A67" s="82" t="s">
        <v>436</v>
      </c>
      <c r="B67" s="82" t="s">
        <v>386</v>
      </c>
      <c r="C67" s="82" t="s">
        <v>312</v>
      </c>
      <c r="D67" s="82" t="s">
        <v>313</v>
      </c>
      <c r="E67" s="82" t="s">
        <v>334</v>
      </c>
      <c r="F67" s="82" t="s">
        <v>398</v>
      </c>
      <c r="G67" s="82">
        <v>7.8</v>
      </c>
      <c r="H67" s="82">
        <v>8</v>
      </c>
      <c r="I67" s="83">
        <f t="shared" si="2"/>
        <v>97.5</v>
      </c>
      <c r="J67" s="82">
        <v>88.3</v>
      </c>
      <c r="K67" s="84">
        <v>15894</v>
      </c>
      <c r="L67" s="82">
        <v>0</v>
      </c>
      <c r="M67" s="82" t="s">
        <v>309</v>
      </c>
      <c r="N67" s="82">
        <v>1</v>
      </c>
      <c r="O67" s="82">
        <f t="shared" si="3"/>
        <v>85.3125</v>
      </c>
    </row>
    <row r="68" spans="1:15" ht="15" customHeight="1" x14ac:dyDescent="0.25">
      <c r="A68" s="82" t="s">
        <v>437</v>
      </c>
      <c r="B68" s="82" t="s">
        <v>369</v>
      </c>
      <c r="C68" s="82" t="s">
        <v>333</v>
      </c>
      <c r="D68" s="82" t="s">
        <v>86</v>
      </c>
      <c r="E68" s="82" t="s">
        <v>372</v>
      </c>
      <c r="F68" s="82" t="s">
        <v>319</v>
      </c>
      <c r="G68" s="82">
        <v>5.9</v>
      </c>
      <c r="H68" s="82">
        <v>10</v>
      </c>
      <c r="I68" s="83">
        <f t="shared" si="2"/>
        <v>59.000000000000007</v>
      </c>
      <c r="J68" s="82">
        <v>103.1</v>
      </c>
      <c r="K68" s="84">
        <v>18558</v>
      </c>
      <c r="L68" s="82">
        <v>0</v>
      </c>
      <c r="M68" s="82" t="s">
        <v>327</v>
      </c>
      <c r="N68" s="82">
        <v>2.9</v>
      </c>
      <c r="O68" s="82">
        <f t="shared" si="3"/>
        <v>41.89</v>
      </c>
    </row>
    <row r="69" spans="1:15" ht="15" customHeight="1" x14ac:dyDescent="0.25">
      <c r="A69" s="82" t="s">
        <v>438</v>
      </c>
      <c r="B69" s="82" t="s">
        <v>369</v>
      </c>
      <c r="C69" s="82" t="s">
        <v>305</v>
      </c>
      <c r="D69" s="82" t="s">
        <v>306</v>
      </c>
      <c r="E69" s="82" t="s">
        <v>325</v>
      </c>
      <c r="F69" s="82" t="s">
        <v>439</v>
      </c>
      <c r="G69" s="82">
        <v>5.6</v>
      </c>
      <c r="H69" s="82">
        <v>9</v>
      </c>
      <c r="I69" s="83">
        <f t="shared" si="2"/>
        <v>62.222222222222221</v>
      </c>
      <c r="J69" s="82">
        <v>60.5</v>
      </c>
      <c r="K69" s="84">
        <v>10890</v>
      </c>
      <c r="L69" s="82">
        <v>0</v>
      </c>
      <c r="M69" s="82" t="s">
        <v>327</v>
      </c>
      <c r="N69" s="82">
        <v>2.8</v>
      </c>
      <c r="O69" s="82">
        <f t="shared" si="3"/>
        <v>42.864197530864196</v>
      </c>
    </row>
    <row r="70" spans="1:15" ht="15" customHeight="1" x14ac:dyDescent="0.25">
      <c r="A70" s="82" t="s">
        <v>440</v>
      </c>
      <c r="B70" s="82" t="s">
        <v>371</v>
      </c>
      <c r="C70" s="82" t="s">
        <v>329</v>
      </c>
      <c r="D70" s="82" t="s">
        <v>330</v>
      </c>
      <c r="E70" s="82" t="s">
        <v>345</v>
      </c>
      <c r="F70" s="82" t="s">
        <v>402</v>
      </c>
      <c r="G70" s="82">
        <v>4.2</v>
      </c>
      <c r="H70" s="82">
        <v>12</v>
      </c>
      <c r="I70" s="83">
        <f t="shared" si="2"/>
        <v>35</v>
      </c>
      <c r="J70" s="82">
        <v>64.099999999999994</v>
      </c>
      <c r="K70" s="84">
        <v>11538</v>
      </c>
      <c r="L70" s="82">
        <v>1</v>
      </c>
      <c r="M70" s="82" t="s">
        <v>327</v>
      </c>
      <c r="N70" s="82">
        <v>5</v>
      </c>
      <c r="O70" s="82">
        <f t="shared" si="3"/>
        <v>20.416666666666664</v>
      </c>
    </row>
    <row r="71" spans="1:15" ht="15" customHeight="1" x14ac:dyDescent="0.25">
      <c r="A71" s="82" t="s">
        <v>441</v>
      </c>
      <c r="B71" s="82" t="s">
        <v>349</v>
      </c>
      <c r="C71" s="82" t="s">
        <v>333</v>
      </c>
      <c r="D71" s="82" t="s">
        <v>86</v>
      </c>
      <c r="E71" s="82" t="s">
        <v>325</v>
      </c>
      <c r="F71" s="82" t="s">
        <v>319</v>
      </c>
      <c r="G71" s="82">
        <v>5.5</v>
      </c>
      <c r="H71" s="82">
        <v>10</v>
      </c>
      <c r="I71" s="83">
        <f t="shared" si="2"/>
        <v>55.000000000000007</v>
      </c>
      <c r="J71" s="82">
        <v>80.2</v>
      </c>
      <c r="K71" s="84">
        <v>14436</v>
      </c>
      <c r="L71" s="82">
        <v>0</v>
      </c>
      <c r="M71" s="82" t="s">
        <v>309</v>
      </c>
      <c r="N71" s="82">
        <v>0.2</v>
      </c>
      <c r="O71" s="82">
        <f t="shared" si="3"/>
        <v>53.900000000000006</v>
      </c>
    </row>
    <row r="72" spans="1:15" ht="15" customHeight="1" x14ac:dyDescent="0.25">
      <c r="A72" s="82" t="s">
        <v>442</v>
      </c>
      <c r="B72" s="82" t="s">
        <v>321</v>
      </c>
      <c r="C72" s="82" t="s">
        <v>361</v>
      </c>
      <c r="D72" s="82" t="s">
        <v>119</v>
      </c>
      <c r="E72" s="82" t="s">
        <v>384</v>
      </c>
      <c r="F72" s="82" t="s">
        <v>308</v>
      </c>
      <c r="G72" s="82">
        <v>8.1</v>
      </c>
      <c r="H72" s="82">
        <v>12</v>
      </c>
      <c r="I72" s="83">
        <f t="shared" si="2"/>
        <v>67.5</v>
      </c>
      <c r="J72" s="82">
        <v>139.4</v>
      </c>
      <c r="K72" s="84">
        <v>25092</v>
      </c>
      <c r="L72" s="82">
        <v>0</v>
      </c>
      <c r="M72" s="82" t="s">
        <v>327</v>
      </c>
      <c r="N72" s="82">
        <v>2.4</v>
      </c>
      <c r="O72" s="82">
        <f t="shared" si="3"/>
        <v>54</v>
      </c>
    </row>
    <row r="73" spans="1:15" ht="15" customHeight="1" x14ac:dyDescent="0.25">
      <c r="A73" s="82" t="s">
        <v>443</v>
      </c>
      <c r="B73" s="82" t="s">
        <v>369</v>
      </c>
      <c r="C73" s="82" t="s">
        <v>340</v>
      </c>
      <c r="D73" s="82" t="s">
        <v>341</v>
      </c>
      <c r="E73" s="82" t="s">
        <v>372</v>
      </c>
      <c r="F73" s="82" t="s">
        <v>352</v>
      </c>
      <c r="G73" s="82">
        <v>4.4000000000000004</v>
      </c>
      <c r="H73" s="82">
        <v>8</v>
      </c>
      <c r="I73" s="83">
        <f t="shared" si="2"/>
        <v>55.000000000000007</v>
      </c>
      <c r="J73" s="82">
        <v>46.1</v>
      </c>
      <c r="K73" s="84">
        <v>8298</v>
      </c>
      <c r="L73" s="82">
        <v>0</v>
      </c>
      <c r="M73" s="82" t="s">
        <v>327</v>
      </c>
      <c r="N73" s="82">
        <v>1.8</v>
      </c>
      <c r="O73" s="82">
        <f t="shared" si="3"/>
        <v>42.625000000000007</v>
      </c>
    </row>
    <row r="74" spans="1:15" ht="15" customHeight="1" x14ac:dyDescent="0.25">
      <c r="A74" s="82" t="s">
        <v>444</v>
      </c>
      <c r="B74" s="82" t="s">
        <v>321</v>
      </c>
      <c r="C74" s="82" t="s">
        <v>333</v>
      </c>
      <c r="D74" s="82" t="s">
        <v>86</v>
      </c>
      <c r="E74" s="82" t="s">
        <v>358</v>
      </c>
      <c r="F74" s="82" t="s">
        <v>338</v>
      </c>
      <c r="G74" s="82">
        <v>4</v>
      </c>
      <c r="H74" s="82">
        <v>8</v>
      </c>
      <c r="I74" s="83">
        <f t="shared" si="2"/>
        <v>50</v>
      </c>
      <c r="J74" s="82">
        <v>42.3</v>
      </c>
      <c r="K74" s="84">
        <v>7614</v>
      </c>
      <c r="L74" s="82">
        <v>0</v>
      </c>
      <c r="M74" s="82" t="s">
        <v>327</v>
      </c>
      <c r="N74" s="82">
        <v>1.7</v>
      </c>
      <c r="O74" s="82">
        <f t="shared" si="3"/>
        <v>39.375</v>
      </c>
    </row>
    <row r="75" spans="1:15" ht="15" customHeight="1" x14ac:dyDescent="0.25">
      <c r="A75" s="82" t="s">
        <v>445</v>
      </c>
      <c r="B75" s="82" t="s">
        <v>321</v>
      </c>
      <c r="C75" s="82" t="s">
        <v>363</v>
      </c>
      <c r="D75" s="82" t="s">
        <v>103</v>
      </c>
      <c r="E75" s="82" t="s">
        <v>351</v>
      </c>
      <c r="F75" s="82" t="s">
        <v>315</v>
      </c>
      <c r="G75" s="82">
        <v>7.2</v>
      </c>
      <c r="H75" s="82">
        <v>11</v>
      </c>
      <c r="I75" s="83">
        <f t="shared" si="2"/>
        <v>65.454545454545453</v>
      </c>
      <c r="J75" s="82">
        <v>106.5</v>
      </c>
      <c r="K75" s="84">
        <v>19170</v>
      </c>
      <c r="L75" s="82">
        <v>0</v>
      </c>
      <c r="M75" s="82" t="s">
        <v>327</v>
      </c>
      <c r="N75" s="82">
        <v>3</v>
      </c>
      <c r="O75" s="82">
        <f t="shared" si="3"/>
        <v>47.603305785123965</v>
      </c>
    </row>
    <row r="76" spans="1:15" ht="15" customHeight="1" x14ac:dyDescent="0.25">
      <c r="A76" s="82" t="s">
        <v>446</v>
      </c>
      <c r="B76" s="82" t="s">
        <v>386</v>
      </c>
      <c r="C76" s="82" t="s">
        <v>312</v>
      </c>
      <c r="D76" s="82" t="s">
        <v>313</v>
      </c>
      <c r="E76" s="82" t="s">
        <v>435</v>
      </c>
      <c r="F76" s="82" t="s">
        <v>338</v>
      </c>
      <c r="G76" s="82">
        <v>4.5</v>
      </c>
      <c r="H76" s="82">
        <v>8</v>
      </c>
      <c r="I76" s="83">
        <f t="shared" si="2"/>
        <v>56.25</v>
      </c>
      <c r="J76" s="82">
        <v>78.3</v>
      </c>
      <c r="K76" s="84">
        <v>14094</v>
      </c>
      <c r="L76" s="82">
        <v>0</v>
      </c>
      <c r="M76" s="82" t="s">
        <v>327</v>
      </c>
      <c r="N76" s="82">
        <v>1.4</v>
      </c>
      <c r="O76" s="82">
        <f t="shared" si="3"/>
        <v>46.40625</v>
      </c>
    </row>
    <row r="77" spans="1:15" ht="15" customHeight="1" x14ac:dyDescent="0.25">
      <c r="A77" s="82" t="s">
        <v>447</v>
      </c>
      <c r="B77" s="82" t="s">
        <v>371</v>
      </c>
      <c r="C77" s="82" t="s">
        <v>340</v>
      </c>
      <c r="D77" s="82" t="s">
        <v>341</v>
      </c>
      <c r="E77" s="82" t="s">
        <v>325</v>
      </c>
      <c r="F77" s="82" t="s">
        <v>315</v>
      </c>
      <c r="G77" s="82">
        <v>4.7</v>
      </c>
      <c r="H77" s="82">
        <v>11</v>
      </c>
      <c r="I77" s="83">
        <f t="shared" si="2"/>
        <v>42.727272727272734</v>
      </c>
      <c r="J77" s="82">
        <v>71.5</v>
      </c>
      <c r="K77" s="84">
        <v>12870</v>
      </c>
      <c r="L77" s="82">
        <v>0</v>
      </c>
      <c r="M77" s="82" t="s">
        <v>327</v>
      </c>
      <c r="N77" s="82">
        <v>0.1</v>
      </c>
      <c r="O77" s="82">
        <f t="shared" si="3"/>
        <v>42.338842975206617</v>
      </c>
    </row>
    <row r="78" spans="1:15" ht="15" customHeight="1" x14ac:dyDescent="0.25">
      <c r="A78" s="82" t="s">
        <v>448</v>
      </c>
      <c r="B78" s="82" t="s">
        <v>349</v>
      </c>
      <c r="C78" s="82" t="s">
        <v>317</v>
      </c>
      <c r="D78" s="82" t="s">
        <v>51</v>
      </c>
      <c r="E78" s="82" t="s">
        <v>358</v>
      </c>
      <c r="F78" s="82" t="s">
        <v>352</v>
      </c>
      <c r="G78" s="82">
        <v>6.7</v>
      </c>
      <c r="H78" s="82">
        <v>8</v>
      </c>
      <c r="I78" s="83">
        <f t="shared" si="2"/>
        <v>83.75</v>
      </c>
      <c r="J78" s="82">
        <v>64.599999999999994</v>
      </c>
      <c r="K78" s="84">
        <v>11628</v>
      </c>
      <c r="L78" s="82">
        <v>2</v>
      </c>
      <c r="M78" s="82" t="s">
        <v>327</v>
      </c>
      <c r="N78" s="82">
        <v>1.9</v>
      </c>
      <c r="O78" s="82">
        <f t="shared" si="3"/>
        <v>63.859374999999993</v>
      </c>
    </row>
    <row r="79" spans="1:15" ht="15" customHeight="1" x14ac:dyDescent="0.25">
      <c r="A79" s="82" t="s">
        <v>449</v>
      </c>
      <c r="B79" s="82" t="s">
        <v>311</v>
      </c>
      <c r="C79" s="82" t="s">
        <v>322</v>
      </c>
      <c r="D79" s="82" t="s">
        <v>62</v>
      </c>
      <c r="E79" s="82" t="s">
        <v>345</v>
      </c>
      <c r="F79" s="82" t="s">
        <v>338</v>
      </c>
      <c r="G79" s="82">
        <v>5.6</v>
      </c>
      <c r="H79" s="82">
        <v>11</v>
      </c>
      <c r="I79" s="83">
        <f t="shared" si="2"/>
        <v>50.909090909090907</v>
      </c>
      <c r="J79" s="82">
        <v>67.5</v>
      </c>
      <c r="K79" s="84">
        <v>12150</v>
      </c>
      <c r="L79" s="82">
        <v>0</v>
      </c>
      <c r="M79" s="82" t="s">
        <v>309</v>
      </c>
      <c r="N79" s="82">
        <v>1.3</v>
      </c>
      <c r="O79" s="82">
        <f t="shared" si="3"/>
        <v>44.892561983471076</v>
      </c>
    </row>
    <row r="80" spans="1:15" ht="15" customHeight="1" x14ac:dyDescent="0.25">
      <c r="A80" s="82" t="s">
        <v>450</v>
      </c>
      <c r="B80" s="82" t="s">
        <v>67</v>
      </c>
      <c r="C80" s="82" t="s">
        <v>329</v>
      </c>
      <c r="D80" s="82" t="s">
        <v>330</v>
      </c>
      <c r="E80" s="82" t="s">
        <v>337</v>
      </c>
      <c r="F80" s="82" t="s">
        <v>382</v>
      </c>
      <c r="G80" s="82">
        <v>7.4</v>
      </c>
      <c r="H80" s="82">
        <v>12</v>
      </c>
      <c r="I80" s="83">
        <f t="shared" si="2"/>
        <v>61.666666666666671</v>
      </c>
      <c r="J80" s="82">
        <v>59.5</v>
      </c>
      <c r="K80" s="84">
        <v>10710</v>
      </c>
      <c r="L80" s="82">
        <v>0</v>
      </c>
      <c r="M80" s="82" t="s">
        <v>327</v>
      </c>
      <c r="N80" s="82">
        <v>2.1</v>
      </c>
      <c r="O80" s="82">
        <f t="shared" si="3"/>
        <v>50.875</v>
      </c>
    </row>
    <row r="81" spans="1:15" ht="15" customHeight="1" x14ac:dyDescent="0.25">
      <c r="A81" s="82" t="s">
        <v>451</v>
      </c>
      <c r="B81" s="82" t="s">
        <v>349</v>
      </c>
      <c r="C81" s="82" t="s">
        <v>329</v>
      </c>
      <c r="D81" s="82" t="s">
        <v>330</v>
      </c>
      <c r="E81" s="82" t="s">
        <v>355</v>
      </c>
      <c r="F81" s="82" t="s">
        <v>342</v>
      </c>
      <c r="G81" s="82">
        <v>5.8</v>
      </c>
      <c r="H81" s="82">
        <v>9</v>
      </c>
      <c r="I81" s="83">
        <f t="shared" si="2"/>
        <v>64.444444444444443</v>
      </c>
      <c r="J81" s="82">
        <v>57.8</v>
      </c>
      <c r="K81" s="84">
        <v>10404</v>
      </c>
      <c r="L81" s="82">
        <v>0</v>
      </c>
      <c r="M81" s="82" t="s">
        <v>309</v>
      </c>
      <c r="N81" s="82">
        <v>1.5</v>
      </c>
      <c r="O81" s="82">
        <f t="shared" si="3"/>
        <v>53.703703703703702</v>
      </c>
    </row>
    <row r="82" spans="1:15" ht="15" customHeight="1" x14ac:dyDescent="0.25">
      <c r="A82" s="82" t="s">
        <v>452</v>
      </c>
      <c r="B82" s="82" t="s">
        <v>369</v>
      </c>
      <c r="C82" s="82" t="s">
        <v>329</v>
      </c>
      <c r="D82" s="82" t="s">
        <v>330</v>
      </c>
      <c r="E82" s="82" t="s">
        <v>314</v>
      </c>
      <c r="F82" s="82" t="s">
        <v>356</v>
      </c>
      <c r="G82" s="82">
        <v>8.1</v>
      </c>
      <c r="H82" s="82">
        <v>11</v>
      </c>
      <c r="I82" s="83">
        <f t="shared" si="2"/>
        <v>73.636363636363626</v>
      </c>
      <c r="J82" s="82">
        <v>93</v>
      </c>
      <c r="K82" s="84">
        <v>16740</v>
      </c>
      <c r="L82" s="82">
        <v>0</v>
      </c>
      <c r="M82" s="82" t="s">
        <v>309</v>
      </c>
      <c r="N82" s="82">
        <v>2.4</v>
      </c>
      <c r="O82" s="82">
        <f t="shared" si="3"/>
        <v>57.570247933884289</v>
      </c>
    </row>
    <row r="83" spans="1:15" ht="15" customHeight="1" x14ac:dyDescent="0.25">
      <c r="A83" s="82" t="s">
        <v>453</v>
      </c>
      <c r="B83" s="82" t="s">
        <v>71</v>
      </c>
      <c r="C83" s="82" t="s">
        <v>329</v>
      </c>
      <c r="D83" s="82" t="s">
        <v>330</v>
      </c>
      <c r="E83" s="82" t="s">
        <v>384</v>
      </c>
      <c r="F83" s="82" t="s">
        <v>454</v>
      </c>
      <c r="G83" s="82">
        <v>5.6</v>
      </c>
      <c r="H83" s="82">
        <v>9</v>
      </c>
      <c r="I83" s="83">
        <f t="shared" si="2"/>
        <v>62.222222222222221</v>
      </c>
      <c r="J83" s="82">
        <v>58.2</v>
      </c>
      <c r="K83" s="84">
        <v>10476</v>
      </c>
      <c r="L83" s="82">
        <v>0</v>
      </c>
      <c r="M83" s="82" t="s">
        <v>327</v>
      </c>
      <c r="N83" s="82">
        <v>0.4</v>
      </c>
      <c r="O83" s="82">
        <f t="shared" si="3"/>
        <v>59.456790123456791</v>
      </c>
    </row>
    <row r="84" spans="1:15" ht="15" customHeight="1" x14ac:dyDescent="0.25">
      <c r="A84" s="82" t="s">
        <v>455</v>
      </c>
      <c r="B84" s="82" t="s">
        <v>360</v>
      </c>
      <c r="C84" s="82" t="s">
        <v>333</v>
      </c>
      <c r="D84" s="82" t="s">
        <v>86</v>
      </c>
      <c r="E84" s="82" t="s">
        <v>372</v>
      </c>
      <c r="F84" s="82" t="s">
        <v>319</v>
      </c>
      <c r="G84" s="82">
        <v>7.1</v>
      </c>
      <c r="H84" s="82">
        <v>12</v>
      </c>
      <c r="I84" s="83">
        <f t="shared" si="2"/>
        <v>59.166666666666664</v>
      </c>
      <c r="J84" s="82">
        <v>70</v>
      </c>
      <c r="K84" s="84">
        <v>12600</v>
      </c>
      <c r="L84" s="82">
        <v>0</v>
      </c>
      <c r="M84" s="82" t="s">
        <v>309</v>
      </c>
      <c r="N84" s="82">
        <v>1.9</v>
      </c>
      <c r="O84" s="82">
        <f t="shared" si="3"/>
        <v>49.798611111111107</v>
      </c>
    </row>
    <row r="85" spans="1:15" ht="15" customHeight="1" x14ac:dyDescent="0.25">
      <c r="A85" s="82" t="s">
        <v>456</v>
      </c>
      <c r="B85" s="82" t="s">
        <v>311</v>
      </c>
      <c r="C85" s="82" t="s">
        <v>340</v>
      </c>
      <c r="D85" s="82" t="s">
        <v>341</v>
      </c>
      <c r="E85" s="82" t="s">
        <v>323</v>
      </c>
      <c r="F85" s="82" t="s">
        <v>406</v>
      </c>
      <c r="G85" s="82">
        <v>4.8</v>
      </c>
      <c r="H85" s="82">
        <v>10</v>
      </c>
      <c r="I85" s="83">
        <f t="shared" si="2"/>
        <v>48</v>
      </c>
      <c r="J85" s="82">
        <v>53.5</v>
      </c>
      <c r="K85" s="84">
        <v>9630</v>
      </c>
      <c r="L85" s="82">
        <v>0</v>
      </c>
      <c r="M85" s="82" t="s">
        <v>327</v>
      </c>
      <c r="N85" s="82">
        <v>1.1000000000000001</v>
      </c>
      <c r="O85" s="82">
        <f t="shared" si="3"/>
        <v>42.72</v>
      </c>
    </row>
    <row r="86" spans="1:15" ht="15" customHeight="1" x14ac:dyDescent="0.25">
      <c r="A86" s="82" t="s">
        <v>457</v>
      </c>
      <c r="B86" s="82" t="s">
        <v>67</v>
      </c>
      <c r="C86" s="82" t="s">
        <v>361</v>
      </c>
      <c r="D86" s="82" t="s">
        <v>119</v>
      </c>
      <c r="E86" s="82" t="s">
        <v>334</v>
      </c>
      <c r="F86" s="82" t="s">
        <v>424</v>
      </c>
      <c r="G86" s="82">
        <v>10.7</v>
      </c>
      <c r="H86" s="82">
        <v>11</v>
      </c>
      <c r="I86" s="83">
        <f t="shared" si="2"/>
        <v>97.272727272727266</v>
      </c>
      <c r="J86" s="82">
        <v>139.69999999999999</v>
      </c>
      <c r="K86" s="84">
        <v>25146</v>
      </c>
      <c r="L86" s="82">
        <v>0</v>
      </c>
      <c r="M86" s="82" t="s">
        <v>309</v>
      </c>
      <c r="N86" s="82">
        <v>1.2</v>
      </c>
      <c r="O86" s="82">
        <f t="shared" si="3"/>
        <v>86.661157024793383</v>
      </c>
    </row>
    <row r="87" spans="1:15" ht="15" customHeight="1" x14ac:dyDescent="0.25">
      <c r="A87" s="82" t="s">
        <v>458</v>
      </c>
      <c r="B87" s="82" t="s">
        <v>386</v>
      </c>
      <c r="C87" s="82" t="s">
        <v>361</v>
      </c>
      <c r="D87" s="82" t="s">
        <v>119</v>
      </c>
      <c r="E87" s="82" t="s">
        <v>323</v>
      </c>
      <c r="F87" s="82" t="s">
        <v>454</v>
      </c>
      <c r="G87" s="82">
        <v>4.2</v>
      </c>
      <c r="H87" s="82">
        <v>12</v>
      </c>
      <c r="I87" s="83">
        <f t="shared" si="2"/>
        <v>35</v>
      </c>
      <c r="J87" s="82">
        <v>65.599999999999994</v>
      </c>
      <c r="K87" s="84">
        <v>11808</v>
      </c>
      <c r="L87" s="82">
        <v>0</v>
      </c>
      <c r="M87" s="82" t="s">
        <v>327</v>
      </c>
      <c r="N87" s="82">
        <v>1.6</v>
      </c>
      <c r="O87" s="82">
        <f t="shared" si="3"/>
        <v>30.333333333333336</v>
      </c>
    </row>
    <row r="88" spans="1:15" ht="15" customHeight="1" x14ac:dyDescent="0.25">
      <c r="A88" s="82" t="s">
        <v>459</v>
      </c>
      <c r="B88" s="82" t="s">
        <v>311</v>
      </c>
      <c r="C88" s="82" t="s">
        <v>361</v>
      </c>
      <c r="D88" s="82" t="s">
        <v>119</v>
      </c>
      <c r="E88" s="82" t="s">
        <v>384</v>
      </c>
      <c r="F88" s="82" t="s">
        <v>364</v>
      </c>
      <c r="G88" s="82">
        <v>7.8</v>
      </c>
      <c r="H88" s="82">
        <v>11</v>
      </c>
      <c r="I88" s="83">
        <f t="shared" si="2"/>
        <v>70.909090909090907</v>
      </c>
      <c r="J88" s="82">
        <v>71.2</v>
      </c>
      <c r="K88" s="84">
        <v>12816</v>
      </c>
      <c r="L88" s="82">
        <v>0</v>
      </c>
      <c r="M88" s="82" t="s">
        <v>309</v>
      </c>
      <c r="N88" s="82">
        <v>2.5</v>
      </c>
      <c r="O88" s="82">
        <f t="shared" si="3"/>
        <v>54.793388429752063</v>
      </c>
    </row>
    <row r="89" spans="1:15" ht="15" customHeight="1" x14ac:dyDescent="0.25">
      <c r="A89" s="82" t="s">
        <v>460</v>
      </c>
      <c r="B89" s="82" t="s">
        <v>369</v>
      </c>
      <c r="C89" s="82" t="s">
        <v>340</v>
      </c>
      <c r="D89" s="82" t="s">
        <v>341</v>
      </c>
      <c r="E89" s="82" t="s">
        <v>318</v>
      </c>
      <c r="F89" s="82" t="s">
        <v>364</v>
      </c>
      <c r="G89" s="82">
        <v>7.8</v>
      </c>
      <c r="H89" s="82">
        <v>11</v>
      </c>
      <c r="I89" s="83">
        <f t="shared" si="2"/>
        <v>70.909090909090907</v>
      </c>
      <c r="J89" s="82">
        <v>139.6</v>
      </c>
      <c r="K89" s="84">
        <v>25128</v>
      </c>
      <c r="L89" s="82">
        <v>0</v>
      </c>
      <c r="M89" s="82" t="s">
        <v>309</v>
      </c>
      <c r="N89" s="82">
        <v>2.2999999999999998</v>
      </c>
      <c r="O89" s="82">
        <f t="shared" si="3"/>
        <v>56.082644628099168</v>
      </c>
    </row>
    <row r="90" spans="1:15" ht="15" customHeight="1" x14ac:dyDescent="0.25">
      <c r="A90" s="82" t="s">
        <v>461</v>
      </c>
      <c r="B90" s="82" t="s">
        <v>71</v>
      </c>
      <c r="C90" s="82" t="s">
        <v>317</v>
      </c>
      <c r="D90" s="82" t="s">
        <v>51</v>
      </c>
      <c r="E90" s="82" t="s">
        <v>351</v>
      </c>
      <c r="F90" s="82" t="s">
        <v>331</v>
      </c>
      <c r="G90" s="82">
        <v>9.1999999999999993</v>
      </c>
      <c r="H90" s="82">
        <v>10</v>
      </c>
      <c r="I90" s="83">
        <f t="shared" si="2"/>
        <v>92</v>
      </c>
      <c r="J90" s="82">
        <v>81.599999999999994</v>
      </c>
      <c r="K90" s="84">
        <v>14688</v>
      </c>
      <c r="L90" s="82">
        <v>0</v>
      </c>
      <c r="M90" s="82" t="s">
        <v>327</v>
      </c>
      <c r="N90" s="82">
        <v>2.4</v>
      </c>
      <c r="O90" s="82">
        <f t="shared" si="3"/>
        <v>69.92</v>
      </c>
    </row>
    <row r="91" spans="1:15" ht="15" customHeight="1" x14ac:dyDescent="0.25">
      <c r="A91" s="82" t="s">
        <v>462</v>
      </c>
      <c r="B91" s="82" t="s">
        <v>371</v>
      </c>
      <c r="C91" s="82" t="s">
        <v>329</v>
      </c>
      <c r="D91" s="82" t="s">
        <v>330</v>
      </c>
      <c r="E91" s="82" t="s">
        <v>410</v>
      </c>
      <c r="F91" s="82" t="s">
        <v>347</v>
      </c>
      <c r="G91" s="82">
        <v>9.1</v>
      </c>
      <c r="H91" s="82">
        <v>12</v>
      </c>
      <c r="I91" s="83">
        <f t="shared" si="2"/>
        <v>75.833333333333329</v>
      </c>
      <c r="J91" s="82">
        <v>87.9</v>
      </c>
      <c r="K91" s="84">
        <v>15822</v>
      </c>
      <c r="L91" s="82">
        <v>0</v>
      </c>
      <c r="M91" s="82" t="s">
        <v>327</v>
      </c>
      <c r="N91" s="82">
        <v>0.6</v>
      </c>
      <c r="O91" s="82">
        <f t="shared" si="3"/>
        <v>72.041666666666657</v>
      </c>
    </row>
    <row r="92" spans="1:15" ht="15" customHeight="1" x14ac:dyDescent="0.25">
      <c r="A92" s="82" t="s">
        <v>463</v>
      </c>
      <c r="B92" s="82" t="s">
        <v>67</v>
      </c>
      <c r="C92" s="82" t="s">
        <v>329</v>
      </c>
      <c r="D92" s="82" t="s">
        <v>330</v>
      </c>
      <c r="E92" s="82" t="s">
        <v>410</v>
      </c>
      <c r="F92" s="82" t="s">
        <v>342</v>
      </c>
      <c r="G92" s="82">
        <v>7.6</v>
      </c>
      <c r="H92" s="82">
        <v>10</v>
      </c>
      <c r="I92" s="83">
        <f t="shared" si="2"/>
        <v>76</v>
      </c>
      <c r="J92" s="82">
        <v>73.599999999999994</v>
      </c>
      <c r="K92" s="84">
        <v>13248</v>
      </c>
      <c r="L92" s="82">
        <v>2</v>
      </c>
      <c r="M92" s="82" t="s">
        <v>327</v>
      </c>
      <c r="N92" s="82">
        <v>3.9</v>
      </c>
      <c r="O92" s="82">
        <f t="shared" si="3"/>
        <v>46.36</v>
      </c>
    </row>
    <row r="93" spans="1:15" ht="15" customHeight="1" x14ac:dyDescent="0.25">
      <c r="A93" s="82" t="s">
        <v>464</v>
      </c>
      <c r="B93" s="82" t="s">
        <v>304</v>
      </c>
      <c r="C93" s="82" t="s">
        <v>312</v>
      </c>
      <c r="D93" s="82" t="s">
        <v>313</v>
      </c>
      <c r="E93" s="82" t="s">
        <v>334</v>
      </c>
      <c r="F93" s="82" t="s">
        <v>338</v>
      </c>
      <c r="G93" s="82">
        <v>8</v>
      </c>
      <c r="H93" s="82">
        <v>8</v>
      </c>
      <c r="I93" s="83">
        <f t="shared" si="2"/>
        <v>100</v>
      </c>
      <c r="J93" s="82">
        <v>133.4</v>
      </c>
      <c r="K93" s="84">
        <v>24012</v>
      </c>
      <c r="L93" s="82">
        <v>0</v>
      </c>
      <c r="M93" s="82" t="s">
        <v>309</v>
      </c>
      <c r="N93" s="82">
        <v>0.7</v>
      </c>
      <c r="O93" s="82">
        <f t="shared" si="3"/>
        <v>91.25</v>
      </c>
    </row>
    <row r="94" spans="1:15" ht="15" customHeight="1" x14ac:dyDescent="0.25">
      <c r="A94" s="82" t="s">
        <v>465</v>
      </c>
      <c r="B94" s="82" t="s">
        <v>369</v>
      </c>
      <c r="C94" s="82" t="s">
        <v>363</v>
      </c>
      <c r="D94" s="82" t="s">
        <v>103</v>
      </c>
      <c r="E94" s="82" t="s">
        <v>314</v>
      </c>
      <c r="F94" s="82" t="s">
        <v>406</v>
      </c>
      <c r="G94" s="82">
        <v>6.9</v>
      </c>
      <c r="H94" s="82">
        <v>9</v>
      </c>
      <c r="I94" s="83">
        <f t="shared" si="2"/>
        <v>76.666666666666671</v>
      </c>
      <c r="J94" s="82">
        <v>73.7</v>
      </c>
      <c r="K94" s="84">
        <v>13266</v>
      </c>
      <c r="L94" s="82">
        <v>0</v>
      </c>
      <c r="M94" s="82" t="s">
        <v>327</v>
      </c>
      <c r="N94" s="82">
        <v>1.9</v>
      </c>
      <c r="O94" s="82">
        <f t="shared" si="3"/>
        <v>60.481481481481481</v>
      </c>
    </row>
    <row r="95" spans="1:15" ht="15" customHeight="1" x14ac:dyDescent="0.25">
      <c r="A95" s="82" t="s">
        <v>466</v>
      </c>
      <c r="B95" s="82" t="s">
        <v>349</v>
      </c>
      <c r="C95" s="82" t="s">
        <v>333</v>
      </c>
      <c r="D95" s="82" t="s">
        <v>86</v>
      </c>
      <c r="E95" s="82" t="s">
        <v>381</v>
      </c>
      <c r="F95" s="82" t="s">
        <v>364</v>
      </c>
      <c r="G95" s="82">
        <v>8.1999999999999993</v>
      </c>
      <c r="H95" s="82">
        <v>10</v>
      </c>
      <c r="I95" s="83">
        <f t="shared" si="2"/>
        <v>82</v>
      </c>
      <c r="J95" s="82">
        <v>137.5</v>
      </c>
      <c r="K95" s="84">
        <v>24750</v>
      </c>
      <c r="L95" s="82">
        <v>0</v>
      </c>
      <c r="M95" s="82" t="s">
        <v>327</v>
      </c>
      <c r="N95" s="82">
        <v>1.7</v>
      </c>
      <c r="O95" s="82">
        <f t="shared" si="3"/>
        <v>68.06</v>
      </c>
    </row>
    <row r="96" spans="1:15" ht="15" customHeight="1" x14ac:dyDescent="0.25">
      <c r="A96" s="82" t="s">
        <v>467</v>
      </c>
      <c r="B96" s="82" t="s">
        <v>349</v>
      </c>
      <c r="C96" s="82" t="s">
        <v>361</v>
      </c>
      <c r="D96" s="82" t="s">
        <v>119</v>
      </c>
      <c r="E96" s="82" t="s">
        <v>410</v>
      </c>
      <c r="F96" s="82" t="s">
        <v>454</v>
      </c>
      <c r="G96" s="82">
        <v>7.2</v>
      </c>
      <c r="H96" s="82">
        <v>12</v>
      </c>
      <c r="I96" s="83">
        <f t="shared" si="2"/>
        <v>60</v>
      </c>
      <c r="J96" s="82">
        <v>127.3</v>
      </c>
      <c r="K96" s="84">
        <v>22914</v>
      </c>
      <c r="L96" s="82">
        <v>0</v>
      </c>
      <c r="M96" s="82" t="s">
        <v>327</v>
      </c>
      <c r="N96" s="82">
        <v>1</v>
      </c>
      <c r="O96" s="82">
        <f t="shared" si="3"/>
        <v>55</v>
      </c>
    </row>
    <row r="97" spans="1:15" ht="15" customHeight="1" x14ac:dyDescent="0.25">
      <c r="A97" s="82" t="s">
        <v>468</v>
      </c>
      <c r="B97" s="82" t="s">
        <v>71</v>
      </c>
      <c r="C97" s="82" t="s">
        <v>322</v>
      </c>
      <c r="D97" s="82" t="s">
        <v>62</v>
      </c>
      <c r="E97" s="82" t="s">
        <v>345</v>
      </c>
      <c r="F97" s="82" t="s">
        <v>439</v>
      </c>
      <c r="G97" s="82">
        <v>6.8</v>
      </c>
      <c r="H97" s="82">
        <v>9</v>
      </c>
      <c r="I97" s="83">
        <f t="shared" si="2"/>
        <v>75.555555555555557</v>
      </c>
      <c r="J97" s="82">
        <v>87.4</v>
      </c>
      <c r="K97" s="84">
        <v>15732</v>
      </c>
      <c r="L97" s="82">
        <v>0</v>
      </c>
      <c r="M97" s="82" t="s">
        <v>309</v>
      </c>
      <c r="N97" s="82">
        <v>0.1</v>
      </c>
      <c r="O97" s="82">
        <f t="shared" si="3"/>
        <v>74.716049382716051</v>
      </c>
    </row>
    <row r="98" spans="1:15" ht="15" customHeight="1" x14ac:dyDescent="0.25">
      <c r="A98" s="82" t="s">
        <v>469</v>
      </c>
      <c r="B98" s="82" t="s">
        <v>349</v>
      </c>
      <c r="C98" s="82" t="s">
        <v>361</v>
      </c>
      <c r="D98" s="82" t="s">
        <v>119</v>
      </c>
      <c r="E98" s="82" t="s">
        <v>423</v>
      </c>
      <c r="F98" s="82" t="s">
        <v>427</v>
      </c>
      <c r="G98" s="82">
        <v>6.2</v>
      </c>
      <c r="H98" s="82">
        <v>9</v>
      </c>
      <c r="I98" s="83">
        <f t="shared" si="2"/>
        <v>68.888888888888886</v>
      </c>
      <c r="J98" s="82">
        <v>49.6</v>
      </c>
      <c r="K98" s="84">
        <v>8928</v>
      </c>
      <c r="L98" s="82">
        <v>1</v>
      </c>
      <c r="M98" s="82" t="s">
        <v>327</v>
      </c>
      <c r="N98" s="82">
        <v>4.4000000000000004</v>
      </c>
      <c r="O98" s="82">
        <f t="shared" si="3"/>
        <v>35.209876543209873</v>
      </c>
    </row>
    <row r="99" spans="1:15" ht="15" customHeight="1" x14ac:dyDescent="0.25">
      <c r="A99" s="82" t="s">
        <v>470</v>
      </c>
      <c r="B99" s="82" t="s">
        <v>311</v>
      </c>
      <c r="C99" s="82" t="s">
        <v>305</v>
      </c>
      <c r="D99" s="82" t="s">
        <v>306</v>
      </c>
      <c r="E99" s="82" t="s">
        <v>323</v>
      </c>
      <c r="F99" s="82" t="s">
        <v>331</v>
      </c>
      <c r="G99" s="82">
        <v>6.6</v>
      </c>
      <c r="H99" s="82">
        <v>8</v>
      </c>
      <c r="I99" s="83">
        <f t="shared" si="2"/>
        <v>82.5</v>
      </c>
      <c r="J99" s="82">
        <v>69.3</v>
      </c>
      <c r="K99" s="84">
        <v>12474</v>
      </c>
      <c r="L99" s="82">
        <v>0</v>
      </c>
      <c r="M99" s="82" t="s">
        <v>399</v>
      </c>
      <c r="N99" s="82">
        <v>0.5</v>
      </c>
      <c r="O99" s="82">
        <f t="shared" si="3"/>
        <v>77.34375</v>
      </c>
    </row>
    <row r="100" spans="1:15" ht="15" customHeight="1" x14ac:dyDescent="0.25">
      <c r="A100" s="82" t="s">
        <v>471</v>
      </c>
      <c r="B100" s="82" t="s">
        <v>360</v>
      </c>
      <c r="C100" s="82" t="s">
        <v>305</v>
      </c>
      <c r="D100" s="82" t="s">
        <v>306</v>
      </c>
      <c r="E100" s="82" t="s">
        <v>408</v>
      </c>
      <c r="F100" s="82" t="s">
        <v>338</v>
      </c>
      <c r="G100" s="82">
        <v>6.8</v>
      </c>
      <c r="H100" s="82">
        <v>8</v>
      </c>
      <c r="I100" s="83">
        <f t="shared" si="2"/>
        <v>85</v>
      </c>
      <c r="J100" s="82">
        <v>54.5</v>
      </c>
      <c r="K100" s="84">
        <v>9810</v>
      </c>
      <c r="L100" s="82">
        <v>0</v>
      </c>
      <c r="M100" s="82" t="s">
        <v>327</v>
      </c>
      <c r="N100" s="82">
        <v>0.7</v>
      </c>
      <c r="O100" s="82">
        <f t="shared" si="3"/>
        <v>77.5625</v>
      </c>
    </row>
    <row r="101" spans="1:15" ht="15" customHeight="1" x14ac:dyDescent="0.25">
      <c r="A101" s="82" t="s">
        <v>472</v>
      </c>
      <c r="B101" s="82" t="s">
        <v>386</v>
      </c>
      <c r="C101" s="82" t="s">
        <v>317</v>
      </c>
      <c r="D101" s="82" t="s">
        <v>51</v>
      </c>
      <c r="E101" s="82" t="s">
        <v>423</v>
      </c>
      <c r="F101" s="82" t="s">
        <v>347</v>
      </c>
      <c r="G101" s="82">
        <v>8.9</v>
      </c>
      <c r="H101" s="82">
        <v>10</v>
      </c>
      <c r="I101" s="83">
        <f t="shared" si="2"/>
        <v>89</v>
      </c>
      <c r="J101" s="82">
        <v>159.1</v>
      </c>
      <c r="K101" s="84">
        <v>28638</v>
      </c>
      <c r="L101" s="82">
        <v>0</v>
      </c>
      <c r="M101" s="82" t="s">
        <v>327</v>
      </c>
      <c r="N101" s="82">
        <v>0.2</v>
      </c>
      <c r="O101" s="82">
        <f t="shared" si="3"/>
        <v>87.22</v>
      </c>
    </row>
    <row r="102" spans="1:15" ht="15" customHeight="1" x14ac:dyDescent="0.25">
      <c r="A102" s="82" t="s">
        <v>473</v>
      </c>
      <c r="B102" s="82" t="s">
        <v>360</v>
      </c>
      <c r="C102" s="82" t="s">
        <v>312</v>
      </c>
      <c r="D102" s="82" t="s">
        <v>313</v>
      </c>
      <c r="E102" s="82" t="s">
        <v>355</v>
      </c>
      <c r="F102" s="82" t="s">
        <v>427</v>
      </c>
      <c r="G102" s="82">
        <v>6.2</v>
      </c>
      <c r="H102" s="82">
        <v>10</v>
      </c>
      <c r="I102" s="83">
        <f t="shared" si="2"/>
        <v>62</v>
      </c>
      <c r="J102" s="82">
        <v>68.2</v>
      </c>
      <c r="K102" s="84">
        <v>12276</v>
      </c>
      <c r="L102" s="82">
        <v>0</v>
      </c>
      <c r="M102" s="82" t="s">
        <v>309</v>
      </c>
      <c r="N102" s="82">
        <v>2.6</v>
      </c>
      <c r="O102" s="82">
        <f t="shared" si="3"/>
        <v>45.88</v>
      </c>
    </row>
    <row r="103" spans="1:15" ht="15" customHeight="1" x14ac:dyDescent="0.25">
      <c r="A103" s="82" t="s">
        <v>474</v>
      </c>
      <c r="B103" s="82" t="s">
        <v>311</v>
      </c>
      <c r="C103" s="82" t="s">
        <v>312</v>
      </c>
      <c r="D103" s="82" t="s">
        <v>313</v>
      </c>
      <c r="E103" s="82" t="s">
        <v>381</v>
      </c>
      <c r="F103" s="82" t="s">
        <v>439</v>
      </c>
      <c r="G103" s="82">
        <v>6.4</v>
      </c>
      <c r="H103" s="82">
        <v>8</v>
      </c>
      <c r="I103" s="83">
        <f t="shared" si="2"/>
        <v>80</v>
      </c>
      <c r="J103" s="82">
        <v>61.7</v>
      </c>
      <c r="K103" s="84">
        <v>11106</v>
      </c>
      <c r="L103" s="82">
        <v>0</v>
      </c>
      <c r="M103" s="82" t="s">
        <v>327</v>
      </c>
      <c r="N103" s="82">
        <v>2.2000000000000002</v>
      </c>
      <c r="O103" s="82">
        <f t="shared" si="3"/>
        <v>58</v>
      </c>
    </row>
    <row r="104" spans="1:15" ht="15" customHeight="1" x14ac:dyDescent="0.25">
      <c r="A104" s="82" t="s">
        <v>475</v>
      </c>
      <c r="B104" s="82" t="s">
        <v>360</v>
      </c>
      <c r="C104" s="82" t="s">
        <v>329</v>
      </c>
      <c r="D104" s="82" t="s">
        <v>330</v>
      </c>
      <c r="E104" s="82" t="s">
        <v>351</v>
      </c>
      <c r="F104" s="82" t="s">
        <v>424</v>
      </c>
      <c r="G104" s="82">
        <v>7.6</v>
      </c>
      <c r="H104" s="82">
        <v>8</v>
      </c>
      <c r="I104" s="83">
        <f t="shared" si="2"/>
        <v>95</v>
      </c>
      <c r="J104" s="82">
        <v>71.400000000000006</v>
      </c>
      <c r="K104" s="84">
        <v>12852</v>
      </c>
      <c r="L104" s="82">
        <v>0</v>
      </c>
      <c r="M104" s="82" t="s">
        <v>309</v>
      </c>
      <c r="N104" s="82">
        <v>1.1000000000000001</v>
      </c>
      <c r="O104" s="82">
        <f t="shared" si="3"/>
        <v>81.9375</v>
      </c>
    </row>
    <row r="105" spans="1:15" ht="15" customHeight="1" x14ac:dyDescent="0.25">
      <c r="A105" s="82" t="s">
        <v>476</v>
      </c>
      <c r="B105" s="82" t="s">
        <v>360</v>
      </c>
      <c r="C105" s="82" t="s">
        <v>322</v>
      </c>
      <c r="D105" s="82" t="s">
        <v>62</v>
      </c>
      <c r="E105" s="82" t="s">
        <v>334</v>
      </c>
      <c r="F105" s="82" t="s">
        <v>374</v>
      </c>
      <c r="G105" s="82">
        <v>7.9</v>
      </c>
      <c r="H105" s="82">
        <v>10</v>
      </c>
      <c r="I105" s="83">
        <f t="shared" si="2"/>
        <v>79</v>
      </c>
      <c r="J105" s="82">
        <v>82.8</v>
      </c>
      <c r="K105" s="84">
        <v>14904</v>
      </c>
      <c r="L105" s="82">
        <v>0</v>
      </c>
      <c r="M105" s="82" t="s">
        <v>309</v>
      </c>
      <c r="N105" s="82">
        <v>0.9</v>
      </c>
      <c r="O105" s="82">
        <f t="shared" si="3"/>
        <v>71.89</v>
      </c>
    </row>
    <row r="106" spans="1:15" ht="15" customHeight="1" x14ac:dyDescent="0.25">
      <c r="A106" s="82" t="s">
        <v>477</v>
      </c>
      <c r="B106" s="82" t="s">
        <v>67</v>
      </c>
      <c r="C106" s="82" t="s">
        <v>305</v>
      </c>
      <c r="D106" s="82" t="s">
        <v>306</v>
      </c>
      <c r="E106" s="82" t="s">
        <v>337</v>
      </c>
      <c r="F106" s="82" t="s">
        <v>367</v>
      </c>
      <c r="G106" s="82">
        <v>8.1</v>
      </c>
      <c r="H106" s="82">
        <v>12</v>
      </c>
      <c r="I106" s="83">
        <f t="shared" si="2"/>
        <v>67.5</v>
      </c>
      <c r="J106" s="82">
        <v>125.4</v>
      </c>
      <c r="K106" s="84">
        <v>22572</v>
      </c>
      <c r="L106" s="82">
        <v>0</v>
      </c>
      <c r="M106" s="82" t="s">
        <v>327</v>
      </c>
      <c r="N106" s="82">
        <v>2.7</v>
      </c>
      <c r="O106" s="82">
        <f t="shared" si="3"/>
        <v>52.3125</v>
      </c>
    </row>
    <row r="107" spans="1:15" ht="15" customHeight="1" x14ac:dyDescent="0.25">
      <c r="A107" s="82" t="s">
        <v>478</v>
      </c>
      <c r="B107" s="82" t="s">
        <v>371</v>
      </c>
      <c r="C107" s="82" t="s">
        <v>361</v>
      </c>
      <c r="D107" s="82" t="s">
        <v>119</v>
      </c>
      <c r="E107" s="82" t="s">
        <v>314</v>
      </c>
      <c r="F107" s="82" t="s">
        <v>427</v>
      </c>
      <c r="G107" s="82">
        <v>6.5</v>
      </c>
      <c r="H107" s="82">
        <v>9</v>
      </c>
      <c r="I107" s="83">
        <f t="shared" si="2"/>
        <v>72.222222222222214</v>
      </c>
      <c r="J107" s="82">
        <v>90.6</v>
      </c>
      <c r="K107" s="84">
        <v>16308</v>
      </c>
      <c r="L107" s="82">
        <v>0</v>
      </c>
      <c r="M107" s="82" t="s">
        <v>343</v>
      </c>
      <c r="N107" s="82">
        <v>3</v>
      </c>
      <c r="O107" s="82">
        <f t="shared" si="3"/>
        <v>48.148148148148145</v>
      </c>
    </row>
    <row r="108" spans="1:15" ht="15" customHeight="1" x14ac:dyDescent="0.25">
      <c r="A108" s="82" t="s">
        <v>479</v>
      </c>
      <c r="B108" s="82" t="s">
        <v>369</v>
      </c>
      <c r="C108" s="82" t="s">
        <v>354</v>
      </c>
      <c r="D108" s="82" t="s">
        <v>96</v>
      </c>
      <c r="E108" s="82" t="s">
        <v>314</v>
      </c>
      <c r="F108" s="82" t="s">
        <v>439</v>
      </c>
      <c r="G108" s="82">
        <v>6.6</v>
      </c>
      <c r="H108" s="82">
        <v>11</v>
      </c>
      <c r="I108" s="83">
        <f t="shared" si="2"/>
        <v>60</v>
      </c>
      <c r="J108" s="82">
        <v>97.9</v>
      </c>
      <c r="K108" s="84">
        <v>17622</v>
      </c>
      <c r="L108" s="82">
        <v>0</v>
      </c>
      <c r="M108" s="82" t="s">
        <v>343</v>
      </c>
      <c r="N108" s="82">
        <v>2.2999999999999998</v>
      </c>
      <c r="O108" s="82">
        <f t="shared" si="3"/>
        <v>47.454545454545453</v>
      </c>
    </row>
    <row r="109" spans="1:15" ht="15" customHeight="1" x14ac:dyDescent="0.25">
      <c r="A109" s="82" t="s">
        <v>480</v>
      </c>
      <c r="B109" s="82" t="s">
        <v>67</v>
      </c>
      <c r="C109" s="82" t="s">
        <v>329</v>
      </c>
      <c r="D109" s="82" t="s">
        <v>330</v>
      </c>
      <c r="E109" s="82" t="s">
        <v>307</v>
      </c>
      <c r="F109" s="82" t="s">
        <v>326</v>
      </c>
      <c r="G109" s="82">
        <v>5.3</v>
      </c>
      <c r="H109" s="82">
        <v>10</v>
      </c>
      <c r="I109" s="83">
        <f t="shared" si="2"/>
        <v>53</v>
      </c>
      <c r="J109" s="82">
        <v>91.3</v>
      </c>
      <c r="K109" s="84">
        <v>16434</v>
      </c>
      <c r="L109" s="82">
        <v>1</v>
      </c>
      <c r="M109" s="82" t="s">
        <v>327</v>
      </c>
      <c r="N109" s="82">
        <v>2.4</v>
      </c>
      <c r="O109" s="82">
        <f t="shared" si="3"/>
        <v>40.28</v>
      </c>
    </row>
    <row r="110" spans="1:15" ht="15" customHeight="1" x14ac:dyDescent="0.25">
      <c r="A110" s="82" t="s">
        <v>481</v>
      </c>
      <c r="B110" s="82" t="s">
        <v>304</v>
      </c>
      <c r="C110" s="82" t="s">
        <v>333</v>
      </c>
      <c r="D110" s="82" t="s">
        <v>86</v>
      </c>
      <c r="E110" s="82" t="s">
        <v>379</v>
      </c>
      <c r="F110" s="82" t="s">
        <v>347</v>
      </c>
      <c r="G110" s="82">
        <v>4.5999999999999996</v>
      </c>
      <c r="H110" s="82">
        <v>11</v>
      </c>
      <c r="I110" s="83">
        <f t="shared" si="2"/>
        <v>41.818181818181813</v>
      </c>
      <c r="J110" s="82">
        <v>61.5</v>
      </c>
      <c r="K110" s="84">
        <v>11070</v>
      </c>
      <c r="L110" s="82">
        <v>0</v>
      </c>
      <c r="M110" s="82" t="s">
        <v>327</v>
      </c>
      <c r="N110" s="82">
        <v>0.9</v>
      </c>
      <c r="O110" s="82">
        <f t="shared" si="3"/>
        <v>38.396694214876028</v>
      </c>
    </row>
    <row r="111" spans="1:15" ht="15" customHeight="1" x14ac:dyDescent="0.25">
      <c r="A111" s="82" t="s">
        <v>482</v>
      </c>
      <c r="B111" s="82" t="s">
        <v>304</v>
      </c>
      <c r="C111" s="82" t="s">
        <v>363</v>
      </c>
      <c r="D111" s="82" t="s">
        <v>103</v>
      </c>
      <c r="E111" s="82" t="s">
        <v>334</v>
      </c>
      <c r="F111" s="82" t="s">
        <v>342</v>
      </c>
      <c r="G111" s="82">
        <v>6.3</v>
      </c>
      <c r="H111" s="82">
        <v>10</v>
      </c>
      <c r="I111" s="83">
        <f t="shared" si="2"/>
        <v>63</v>
      </c>
      <c r="J111" s="82">
        <v>90.4</v>
      </c>
      <c r="K111" s="84">
        <v>16272</v>
      </c>
      <c r="L111" s="82">
        <v>0</v>
      </c>
      <c r="M111" s="82" t="s">
        <v>309</v>
      </c>
      <c r="N111" s="82">
        <v>0.2</v>
      </c>
      <c r="O111" s="82">
        <f t="shared" si="3"/>
        <v>61.74</v>
      </c>
    </row>
    <row r="112" spans="1:15" ht="15" customHeight="1" x14ac:dyDescent="0.25">
      <c r="A112" s="82" t="s">
        <v>483</v>
      </c>
      <c r="B112" s="82" t="s">
        <v>360</v>
      </c>
      <c r="C112" s="82" t="s">
        <v>363</v>
      </c>
      <c r="D112" s="82" t="s">
        <v>103</v>
      </c>
      <c r="E112" s="82" t="s">
        <v>318</v>
      </c>
      <c r="F112" s="82" t="s">
        <v>374</v>
      </c>
      <c r="G112" s="82">
        <v>7.7</v>
      </c>
      <c r="H112" s="82">
        <v>8</v>
      </c>
      <c r="I112" s="83">
        <f t="shared" si="2"/>
        <v>96.25</v>
      </c>
      <c r="J112" s="82">
        <v>70.5</v>
      </c>
      <c r="K112" s="84">
        <v>12690</v>
      </c>
      <c r="L112" s="82">
        <v>0</v>
      </c>
      <c r="M112" s="82" t="s">
        <v>327</v>
      </c>
      <c r="N112" s="82">
        <v>2</v>
      </c>
      <c r="O112" s="82">
        <f t="shared" si="3"/>
        <v>72.1875</v>
      </c>
    </row>
    <row r="113" spans="1:15" ht="15" customHeight="1" x14ac:dyDescent="0.25">
      <c r="A113" s="82" t="s">
        <v>484</v>
      </c>
      <c r="B113" s="82" t="s">
        <v>311</v>
      </c>
      <c r="C113" s="82" t="s">
        <v>312</v>
      </c>
      <c r="D113" s="82" t="s">
        <v>313</v>
      </c>
      <c r="E113" s="82" t="s">
        <v>423</v>
      </c>
      <c r="F113" s="82" t="s">
        <v>347</v>
      </c>
      <c r="G113" s="82">
        <v>7.5</v>
      </c>
      <c r="H113" s="82">
        <v>9</v>
      </c>
      <c r="I113" s="83">
        <f t="shared" si="2"/>
        <v>83.333333333333343</v>
      </c>
      <c r="J113" s="82">
        <v>72.3</v>
      </c>
      <c r="K113" s="84">
        <v>13014</v>
      </c>
      <c r="L113" s="82">
        <v>1</v>
      </c>
      <c r="M113" s="82" t="s">
        <v>327</v>
      </c>
      <c r="N113" s="82">
        <v>4.9000000000000004</v>
      </c>
      <c r="O113" s="82">
        <f t="shared" si="3"/>
        <v>37.962962962962962</v>
      </c>
    </row>
    <row r="114" spans="1:15" ht="15" customHeight="1" x14ac:dyDescent="0.25">
      <c r="A114" s="82" t="s">
        <v>485</v>
      </c>
      <c r="B114" s="82" t="s">
        <v>71</v>
      </c>
      <c r="C114" s="82" t="s">
        <v>354</v>
      </c>
      <c r="D114" s="82" t="s">
        <v>96</v>
      </c>
      <c r="E114" s="82" t="s">
        <v>410</v>
      </c>
      <c r="F114" s="82" t="s">
        <v>319</v>
      </c>
      <c r="G114" s="82">
        <v>8.4</v>
      </c>
      <c r="H114" s="82">
        <v>10</v>
      </c>
      <c r="I114" s="83">
        <f t="shared" si="2"/>
        <v>84.000000000000014</v>
      </c>
      <c r="J114" s="82">
        <v>77.099999999999994</v>
      </c>
      <c r="K114" s="84">
        <v>13878</v>
      </c>
      <c r="L114" s="82">
        <v>1</v>
      </c>
      <c r="M114" s="82" t="s">
        <v>327</v>
      </c>
      <c r="N114" s="82">
        <v>3.1</v>
      </c>
      <c r="O114" s="82">
        <f t="shared" si="3"/>
        <v>57.960000000000008</v>
      </c>
    </row>
    <row r="115" spans="1:15" ht="15" customHeight="1" x14ac:dyDescent="0.25">
      <c r="A115" s="82" t="s">
        <v>486</v>
      </c>
      <c r="B115" s="82" t="s">
        <v>304</v>
      </c>
      <c r="C115" s="82" t="s">
        <v>312</v>
      </c>
      <c r="D115" s="82" t="s">
        <v>313</v>
      </c>
      <c r="E115" s="82" t="s">
        <v>376</v>
      </c>
      <c r="F115" s="82" t="s">
        <v>347</v>
      </c>
      <c r="G115" s="82">
        <v>9</v>
      </c>
      <c r="H115" s="82">
        <v>12</v>
      </c>
      <c r="I115" s="83">
        <f t="shared" si="2"/>
        <v>75</v>
      </c>
      <c r="J115" s="82">
        <v>116.7</v>
      </c>
      <c r="K115" s="84">
        <v>21006</v>
      </c>
      <c r="L115" s="82">
        <v>0</v>
      </c>
      <c r="M115" s="82" t="s">
        <v>327</v>
      </c>
      <c r="N115" s="82">
        <v>2.6</v>
      </c>
      <c r="O115" s="82">
        <f t="shared" si="3"/>
        <v>58.75</v>
      </c>
    </row>
    <row r="116" spans="1:15" ht="15" customHeight="1" x14ac:dyDescent="0.25">
      <c r="A116" s="82" t="s">
        <v>487</v>
      </c>
      <c r="B116" s="82" t="s">
        <v>311</v>
      </c>
      <c r="C116" s="82" t="s">
        <v>322</v>
      </c>
      <c r="D116" s="82" t="s">
        <v>62</v>
      </c>
      <c r="E116" s="82" t="s">
        <v>323</v>
      </c>
      <c r="F116" s="82" t="s">
        <v>331</v>
      </c>
      <c r="G116" s="82">
        <v>7.6</v>
      </c>
      <c r="H116" s="82">
        <v>8</v>
      </c>
      <c r="I116" s="83">
        <f t="shared" si="2"/>
        <v>95</v>
      </c>
      <c r="J116" s="82">
        <v>112</v>
      </c>
      <c r="K116" s="84">
        <v>20160</v>
      </c>
      <c r="L116" s="82">
        <v>0</v>
      </c>
      <c r="M116" s="82" t="s">
        <v>309</v>
      </c>
      <c r="N116" s="82">
        <v>0</v>
      </c>
      <c r="O116" s="82">
        <f t="shared" si="3"/>
        <v>95</v>
      </c>
    </row>
    <row r="117" spans="1:15" ht="15" customHeight="1" x14ac:dyDescent="0.25">
      <c r="A117" s="82" t="s">
        <v>488</v>
      </c>
      <c r="B117" s="82" t="s">
        <v>67</v>
      </c>
      <c r="C117" s="82" t="s">
        <v>363</v>
      </c>
      <c r="D117" s="82" t="s">
        <v>103</v>
      </c>
      <c r="E117" s="82" t="s">
        <v>318</v>
      </c>
      <c r="F117" s="82" t="s">
        <v>406</v>
      </c>
      <c r="G117" s="82">
        <v>6.3</v>
      </c>
      <c r="H117" s="82">
        <v>10</v>
      </c>
      <c r="I117" s="83">
        <f t="shared" si="2"/>
        <v>63</v>
      </c>
      <c r="J117" s="82">
        <v>59.9</v>
      </c>
      <c r="K117" s="84">
        <v>10782</v>
      </c>
      <c r="L117" s="82">
        <v>1</v>
      </c>
      <c r="M117" s="82" t="s">
        <v>309</v>
      </c>
      <c r="N117" s="82">
        <v>3.8</v>
      </c>
      <c r="O117" s="82">
        <f t="shared" si="3"/>
        <v>39.06</v>
      </c>
    </row>
    <row r="118" spans="1:15" ht="15" customHeight="1" x14ac:dyDescent="0.25">
      <c r="A118" s="82" t="s">
        <v>489</v>
      </c>
      <c r="B118" s="82" t="s">
        <v>360</v>
      </c>
      <c r="C118" s="82" t="s">
        <v>363</v>
      </c>
      <c r="D118" s="82" t="s">
        <v>103</v>
      </c>
      <c r="E118" s="82" t="s">
        <v>358</v>
      </c>
      <c r="F118" s="82" t="s">
        <v>374</v>
      </c>
      <c r="G118" s="82">
        <v>10.4</v>
      </c>
      <c r="H118" s="82">
        <v>11</v>
      </c>
      <c r="I118" s="83">
        <f t="shared" si="2"/>
        <v>94.545454545454547</v>
      </c>
      <c r="J118" s="82">
        <v>116.5</v>
      </c>
      <c r="K118" s="84">
        <v>20970</v>
      </c>
      <c r="L118" s="82">
        <v>0</v>
      </c>
      <c r="M118" s="82" t="s">
        <v>327</v>
      </c>
      <c r="N118" s="82">
        <v>0.4</v>
      </c>
      <c r="O118" s="82">
        <f t="shared" si="3"/>
        <v>91.107438016528931</v>
      </c>
    </row>
    <row r="119" spans="1:15" ht="15" customHeight="1" x14ac:dyDescent="0.25">
      <c r="A119" s="82" t="s">
        <v>490</v>
      </c>
      <c r="B119" s="82" t="s">
        <v>67</v>
      </c>
      <c r="C119" s="82" t="s">
        <v>354</v>
      </c>
      <c r="D119" s="82" t="s">
        <v>96</v>
      </c>
      <c r="E119" s="82" t="s">
        <v>408</v>
      </c>
      <c r="F119" s="82" t="s">
        <v>367</v>
      </c>
      <c r="G119" s="82">
        <v>7.8</v>
      </c>
      <c r="H119" s="82">
        <v>8</v>
      </c>
      <c r="I119" s="83">
        <f t="shared" si="2"/>
        <v>97.5</v>
      </c>
      <c r="J119" s="82">
        <v>67.8</v>
      </c>
      <c r="K119" s="84">
        <v>12204</v>
      </c>
      <c r="L119" s="82">
        <v>0</v>
      </c>
      <c r="M119" s="82" t="s">
        <v>327</v>
      </c>
      <c r="N119" s="82">
        <v>2.5</v>
      </c>
      <c r="O119" s="82">
        <f t="shared" si="3"/>
        <v>67.03125</v>
      </c>
    </row>
    <row r="120" spans="1:15" ht="15" customHeight="1" x14ac:dyDescent="0.25">
      <c r="A120" s="82" t="s">
        <v>491</v>
      </c>
      <c r="B120" s="82" t="s">
        <v>369</v>
      </c>
      <c r="C120" s="82" t="s">
        <v>312</v>
      </c>
      <c r="D120" s="82" t="s">
        <v>313</v>
      </c>
      <c r="E120" s="82" t="s">
        <v>345</v>
      </c>
      <c r="F120" s="82" t="s">
        <v>382</v>
      </c>
      <c r="G120" s="82">
        <v>5.5</v>
      </c>
      <c r="H120" s="82">
        <v>8</v>
      </c>
      <c r="I120" s="83">
        <f t="shared" si="2"/>
        <v>68.75</v>
      </c>
      <c r="J120" s="82">
        <v>60</v>
      </c>
      <c r="K120" s="84">
        <v>10800</v>
      </c>
      <c r="L120" s="82">
        <v>0</v>
      </c>
      <c r="M120" s="82" t="s">
        <v>309</v>
      </c>
      <c r="N120" s="82">
        <v>0.7</v>
      </c>
      <c r="O120" s="82">
        <f t="shared" si="3"/>
        <v>62.734375</v>
      </c>
    </row>
    <row r="121" spans="1:15" ht="15" customHeight="1" x14ac:dyDescent="0.25">
      <c r="A121" s="82" t="s">
        <v>492</v>
      </c>
      <c r="B121" s="82" t="s">
        <v>369</v>
      </c>
      <c r="C121" s="82" t="s">
        <v>329</v>
      </c>
      <c r="D121" s="82" t="s">
        <v>330</v>
      </c>
      <c r="E121" s="82" t="s">
        <v>325</v>
      </c>
      <c r="F121" s="82" t="s">
        <v>424</v>
      </c>
      <c r="G121" s="82">
        <v>10.1</v>
      </c>
      <c r="H121" s="82">
        <v>12</v>
      </c>
      <c r="I121" s="83">
        <f t="shared" si="2"/>
        <v>84.166666666666671</v>
      </c>
      <c r="J121" s="82">
        <v>105.6</v>
      </c>
      <c r="K121" s="84">
        <v>19008</v>
      </c>
      <c r="L121" s="82">
        <v>0</v>
      </c>
      <c r="M121" s="82" t="s">
        <v>327</v>
      </c>
      <c r="N121" s="82">
        <v>0.7</v>
      </c>
      <c r="O121" s="82">
        <f t="shared" si="3"/>
        <v>79.256944444444443</v>
      </c>
    </row>
    <row r="122" spans="1:15" ht="15" customHeight="1" x14ac:dyDescent="0.25">
      <c r="A122" s="82" t="s">
        <v>493</v>
      </c>
      <c r="B122" s="82" t="s">
        <v>369</v>
      </c>
      <c r="C122" s="82" t="s">
        <v>317</v>
      </c>
      <c r="D122" s="82" t="s">
        <v>51</v>
      </c>
      <c r="E122" s="82" t="s">
        <v>358</v>
      </c>
      <c r="F122" s="82" t="s">
        <v>326</v>
      </c>
      <c r="G122" s="82">
        <v>9.9</v>
      </c>
      <c r="H122" s="82">
        <v>11</v>
      </c>
      <c r="I122" s="83">
        <f t="shared" si="2"/>
        <v>90</v>
      </c>
      <c r="J122" s="82">
        <v>151.19999999999999</v>
      </c>
      <c r="K122" s="84">
        <v>27216</v>
      </c>
      <c r="L122" s="82">
        <v>0</v>
      </c>
      <c r="M122" s="82" t="s">
        <v>327</v>
      </c>
      <c r="N122" s="82">
        <v>0.7</v>
      </c>
      <c r="O122" s="82">
        <f t="shared" si="3"/>
        <v>84.27272727272728</v>
      </c>
    </row>
    <row r="123" spans="1:15" ht="15" customHeight="1" x14ac:dyDescent="0.25">
      <c r="A123" s="82" t="s">
        <v>494</v>
      </c>
      <c r="B123" s="82" t="s">
        <v>386</v>
      </c>
      <c r="C123" s="82" t="s">
        <v>317</v>
      </c>
      <c r="D123" s="82" t="s">
        <v>51</v>
      </c>
      <c r="E123" s="82" t="s">
        <v>334</v>
      </c>
      <c r="F123" s="82" t="s">
        <v>347</v>
      </c>
      <c r="G123" s="82">
        <v>4.5999999999999996</v>
      </c>
      <c r="H123" s="82">
        <v>10</v>
      </c>
      <c r="I123" s="83">
        <f t="shared" si="2"/>
        <v>46</v>
      </c>
      <c r="J123" s="82">
        <v>79.2</v>
      </c>
      <c r="K123" s="84">
        <v>14256</v>
      </c>
      <c r="L123" s="82">
        <v>1</v>
      </c>
      <c r="M123" s="82" t="s">
        <v>327</v>
      </c>
      <c r="N123" s="82">
        <v>4.5</v>
      </c>
      <c r="O123" s="82">
        <f t="shared" si="3"/>
        <v>25.3</v>
      </c>
    </row>
    <row r="124" spans="1:15" ht="15" customHeight="1" x14ac:dyDescent="0.25">
      <c r="A124" s="82" t="s">
        <v>495</v>
      </c>
      <c r="B124" s="82" t="s">
        <v>369</v>
      </c>
      <c r="C124" s="82" t="s">
        <v>361</v>
      </c>
      <c r="D124" s="82" t="s">
        <v>119</v>
      </c>
      <c r="E124" s="82" t="s">
        <v>307</v>
      </c>
      <c r="F124" s="82" t="s">
        <v>439</v>
      </c>
      <c r="G124" s="82">
        <v>6</v>
      </c>
      <c r="H124" s="82">
        <v>8</v>
      </c>
      <c r="I124" s="83">
        <f t="shared" si="2"/>
        <v>75</v>
      </c>
      <c r="J124" s="82">
        <v>86.2</v>
      </c>
      <c r="K124" s="84">
        <v>15516</v>
      </c>
      <c r="L124" s="82">
        <v>0</v>
      </c>
      <c r="M124" s="82" t="s">
        <v>327</v>
      </c>
      <c r="N124" s="82">
        <v>0.2</v>
      </c>
      <c r="O124" s="82">
        <f t="shared" si="3"/>
        <v>73.125</v>
      </c>
    </row>
    <row r="125" spans="1:15" ht="15" customHeight="1" x14ac:dyDescent="0.25">
      <c r="A125" s="82" t="s">
        <v>496</v>
      </c>
      <c r="B125" s="82" t="s">
        <v>311</v>
      </c>
      <c r="C125" s="82" t="s">
        <v>363</v>
      </c>
      <c r="D125" s="82" t="s">
        <v>103</v>
      </c>
      <c r="E125" s="82" t="s">
        <v>435</v>
      </c>
      <c r="F125" s="82" t="s">
        <v>331</v>
      </c>
      <c r="G125" s="82">
        <v>9.6</v>
      </c>
      <c r="H125" s="82">
        <v>10</v>
      </c>
      <c r="I125" s="83">
        <f t="shared" si="2"/>
        <v>96</v>
      </c>
      <c r="J125" s="82">
        <v>114.5</v>
      </c>
      <c r="K125" s="84">
        <v>20610</v>
      </c>
      <c r="L125" s="82">
        <v>0</v>
      </c>
      <c r="M125" s="82" t="s">
        <v>327</v>
      </c>
      <c r="N125" s="82">
        <v>1.4</v>
      </c>
      <c r="O125" s="82">
        <f t="shared" si="3"/>
        <v>82.56</v>
      </c>
    </row>
    <row r="126" spans="1:15" ht="15" customHeight="1" x14ac:dyDescent="0.25">
      <c r="A126" s="82" t="s">
        <v>497</v>
      </c>
      <c r="B126" s="82" t="s">
        <v>371</v>
      </c>
      <c r="C126" s="82" t="s">
        <v>312</v>
      </c>
      <c r="D126" s="82" t="s">
        <v>313</v>
      </c>
      <c r="E126" s="82" t="s">
        <v>337</v>
      </c>
      <c r="F126" s="82" t="s">
        <v>319</v>
      </c>
      <c r="G126" s="82">
        <v>4.9000000000000004</v>
      </c>
      <c r="H126" s="82">
        <v>12</v>
      </c>
      <c r="I126" s="83">
        <f t="shared" si="2"/>
        <v>40.833333333333336</v>
      </c>
      <c r="J126" s="82">
        <v>44.4</v>
      </c>
      <c r="K126" s="84">
        <v>7992</v>
      </c>
      <c r="L126" s="82">
        <v>0</v>
      </c>
      <c r="M126" s="82" t="s">
        <v>327</v>
      </c>
      <c r="N126" s="82">
        <v>0.4</v>
      </c>
      <c r="O126" s="82">
        <f t="shared" si="3"/>
        <v>39.472222222222221</v>
      </c>
    </row>
    <row r="127" spans="1:15" ht="15" customHeight="1" x14ac:dyDescent="0.25">
      <c r="A127" s="82" t="s">
        <v>498</v>
      </c>
      <c r="B127" s="82" t="s">
        <v>369</v>
      </c>
      <c r="C127" s="82" t="s">
        <v>363</v>
      </c>
      <c r="D127" s="82" t="s">
        <v>103</v>
      </c>
      <c r="E127" s="82" t="s">
        <v>351</v>
      </c>
      <c r="F127" s="82" t="s">
        <v>398</v>
      </c>
      <c r="G127" s="82">
        <v>5.9</v>
      </c>
      <c r="H127" s="82">
        <v>11</v>
      </c>
      <c r="I127" s="83">
        <f t="shared" si="2"/>
        <v>53.63636363636364</v>
      </c>
      <c r="J127" s="82">
        <v>54.3</v>
      </c>
      <c r="K127" s="84">
        <v>9774</v>
      </c>
      <c r="L127" s="82">
        <v>0</v>
      </c>
      <c r="M127" s="82" t="s">
        <v>309</v>
      </c>
      <c r="N127" s="82">
        <v>2.5</v>
      </c>
      <c r="O127" s="82">
        <f t="shared" si="3"/>
        <v>41.446280991735541</v>
      </c>
    </row>
    <row r="128" spans="1:15" ht="15" customHeight="1" x14ac:dyDescent="0.25">
      <c r="A128" s="82" t="s">
        <v>499</v>
      </c>
      <c r="B128" s="82" t="s">
        <v>321</v>
      </c>
      <c r="C128" s="82" t="s">
        <v>317</v>
      </c>
      <c r="D128" s="82" t="s">
        <v>51</v>
      </c>
      <c r="E128" s="82" t="s">
        <v>337</v>
      </c>
      <c r="F128" s="82" t="s">
        <v>396</v>
      </c>
      <c r="G128" s="82">
        <v>4.5</v>
      </c>
      <c r="H128" s="82">
        <v>9</v>
      </c>
      <c r="I128" s="83">
        <f t="shared" si="2"/>
        <v>50</v>
      </c>
      <c r="J128" s="82">
        <v>47.2</v>
      </c>
      <c r="K128" s="84">
        <v>8496</v>
      </c>
      <c r="L128" s="82">
        <v>0</v>
      </c>
      <c r="M128" s="82" t="s">
        <v>327</v>
      </c>
      <c r="N128" s="82">
        <v>2</v>
      </c>
      <c r="O128" s="82">
        <f t="shared" si="3"/>
        <v>38.888888888888893</v>
      </c>
    </row>
    <row r="129" spans="1:15" ht="15" customHeight="1" x14ac:dyDescent="0.25">
      <c r="A129" s="82" t="s">
        <v>500</v>
      </c>
      <c r="B129" s="82" t="s">
        <v>71</v>
      </c>
      <c r="C129" s="82" t="s">
        <v>354</v>
      </c>
      <c r="D129" s="82" t="s">
        <v>96</v>
      </c>
      <c r="E129" s="82" t="s">
        <v>423</v>
      </c>
      <c r="F129" s="82" t="s">
        <v>308</v>
      </c>
      <c r="G129" s="82">
        <v>7.9</v>
      </c>
      <c r="H129" s="82">
        <v>11</v>
      </c>
      <c r="I129" s="83">
        <f t="shared" si="2"/>
        <v>71.818181818181827</v>
      </c>
      <c r="J129" s="82">
        <v>106.7</v>
      </c>
      <c r="K129" s="84">
        <v>19206</v>
      </c>
      <c r="L129" s="82">
        <v>0</v>
      </c>
      <c r="M129" s="82" t="s">
        <v>327</v>
      </c>
      <c r="N129" s="82">
        <v>2.4</v>
      </c>
      <c r="O129" s="82">
        <f t="shared" si="3"/>
        <v>56.148760330578526</v>
      </c>
    </row>
    <row r="130" spans="1:15" ht="15" customHeight="1" x14ac:dyDescent="0.25">
      <c r="A130" s="82" t="s">
        <v>501</v>
      </c>
      <c r="B130" s="82" t="s">
        <v>349</v>
      </c>
      <c r="C130" s="82" t="s">
        <v>317</v>
      </c>
      <c r="D130" s="82" t="s">
        <v>51</v>
      </c>
      <c r="E130" s="82" t="s">
        <v>318</v>
      </c>
      <c r="F130" s="82" t="s">
        <v>374</v>
      </c>
      <c r="G130" s="82">
        <v>5</v>
      </c>
      <c r="H130" s="82">
        <v>9</v>
      </c>
      <c r="I130" s="83">
        <f t="shared" ref="I130:I193" si="4">IF(H130&gt;0,G130/H130*100,0)</f>
        <v>55.555555555555557</v>
      </c>
      <c r="J130" s="82">
        <v>60</v>
      </c>
      <c r="K130" s="84">
        <v>10800</v>
      </c>
      <c r="L130" s="82">
        <v>0</v>
      </c>
      <c r="M130" s="82" t="s">
        <v>399</v>
      </c>
      <c r="N130" s="82">
        <v>0.3</v>
      </c>
      <c r="O130" s="82">
        <f t="shared" ref="O130:O193" si="5">IF(I130&gt;0,I130*(1-N130/H130),0)</f>
        <v>53.703703703703702</v>
      </c>
    </row>
    <row r="131" spans="1:15" ht="15" customHeight="1" x14ac:dyDescent="0.25">
      <c r="A131" s="82" t="s">
        <v>502</v>
      </c>
      <c r="B131" s="82" t="s">
        <v>321</v>
      </c>
      <c r="C131" s="82" t="s">
        <v>305</v>
      </c>
      <c r="D131" s="82" t="s">
        <v>306</v>
      </c>
      <c r="E131" s="82" t="s">
        <v>307</v>
      </c>
      <c r="F131" s="82" t="s">
        <v>326</v>
      </c>
      <c r="G131" s="82">
        <v>4.8</v>
      </c>
      <c r="H131" s="82">
        <v>8</v>
      </c>
      <c r="I131" s="83">
        <f t="shared" si="4"/>
        <v>60</v>
      </c>
      <c r="J131" s="82">
        <v>69.400000000000006</v>
      </c>
      <c r="K131" s="84">
        <v>12492</v>
      </c>
      <c r="L131" s="82">
        <v>0</v>
      </c>
      <c r="M131" s="82" t="s">
        <v>327</v>
      </c>
      <c r="N131" s="82">
        <v>2.5</v>
      </c>
      <c r="O131" s="82">
        <f t="shared" si="5"/>
        <v>41.25</v>
      </c>
    </row>
    <row r="132" spans="1:15" ht="15" customHeight="1" x14ac:dyDescent="0.25">
      <c r="A132" s="82" t="s">
        <v>503</v>
      </c>
      <c r="B132" s="82" t="s">
        <v>369</v>
      </c>
      <c r="C132" s="82" t="s">
        <v>312</v>
      </c>
      <c r="D132" s="82" t="s">
        <v>313</v>
      </c>
      <c r="E132" s="82" t="s">
        <v>318</v>
      </c>
      <c r="F132" s="82" t="s">
        <v>382</v>
      </c>
      <c r="G132" s="82">
        <v>4.7</v>
      </c>
      <c r="H132" s="82">
        <v>8</v>
      </c>
      <c r="I132" s="83">
        <f t="shared" si="4"/>
        <v>58.75</v>
      </c>
      <c r="J132" s="82">
        <v>64.599999999999994</v>
      </c>
      <c r="K132" s="84">
        <v>11628</v>
      </c>
      <c r="L132" s="82">
        <v>0</v>
      </c>
      <c r="M132" s="82" t="s">
        <v>327</v>
      </c>
      <c r="N132" s="82">
        <v>0.1</v>
      </c>
      <c r="O132" s="82">
        <f t="shared" si="5"/>
        <v>58.015625</v>
      </c>
    </row>
    <row r="133" spans="1:15" ht="15" customHeight="1" x14ac:dyDescent="0.25">
      <c r="A133" s="82" t="s">
        <v>504</v>
      </c>
      <c r="B133" s="82" t="s">
        <v>360</v>
      </c>
      <c r="C133" s="82" t="s">
        <v>354</v>
      </c>
      <c r="D133" s="82" t="s">
        <v>96</v>
      </c>
      <c r="E133" s="82" t="s">
        <v>410</v>
      </c>
      <c r="F133" s="82" t="s">
        <v>424</v>
      </c>
      <c r="G133" s="82">
        <v>5.4</v>
      </c>
      <c r="H133" s="82">
        <v>9</v>
      </c>
      <c r="I133" s="83">
        <f t="shared" si="4"/>
        <v>60.000000000000007</v>
      </c>
      <c r="J133" s="82">
        <v>67.3</v>
      </c>
      <c r="K133" s="84">
        <v>12114</v>
      </c>
      <c r="L133" s="82">
        <v>0</v>
      </c>
      <c r="M133" s="82" t="s">
        <v>309</v>
      </c>
      <c r="N133" s="82">
        <v>1.9</v>
      </c>
      <c r="O133" s="82">
        <f t="shared" si="5"/>
        <v>47.333333333333336</v>
      </c>
    </row>
    <row r="134" spans="1:15" ht="15" customHeight="1" x14ac:dyDescent="0.25">
      <c r="A134" s="82" t="s">
        <v>505</v>
      </c>
      <c r="B134" s="82" t="s">
        <v>71</v>
      </c>
      <c r="C134" s="82" t="s">
        <v>361</v>
      </c>
      <c r="D134" s="82" t="s">
        <v>119</v>
      </c>
      <c r="E134" s="82" t="s">
        <v>379</v>
      </c>
      <c r="F134" s="82" t="s">
        <v>342</v>
      </c>
      <c r="G134" s="82">
        <v>4.4000000000000004</v>
      </c>
      <c r="H134" s="82">
        <v>11</v>
      </c>
      <c r="I134" s="83">
        <f t="shared" si="4"/>
        <v>40</v>
      </c>
      <c r="J134" s="82">
        <v>47.5</v>
      </c>
      <c r="K134" s="84">
        <v>8550</v>
      </c>
      <c r="L134" s="82">
        <v>0</v>
      </c>
      <c r="M134" s="82" t="s">
        <v>327</v>
      </c>
      <c r="N134" s="82">
        <v>2.7</v>
      </c>
      <c r="O134" s="82">
        <f t="shared" si="5"/>
        <v>30.18181818181818</v>
      </c>
    </row>
    <row r="135" spans="1:15" ht="15" customHeight="1" x14ac:dyDescent="0.25">
      <c r="A135" s="82" t="s">
        <v>506</v>
      </c>
      <c r="B135" s="82" t="s">
        <v>304</v>
      </c>
      <c r="C135" s="82" t="s">
        <v>363</v>
      </c>
      <c r="D135" s="82" t="s">
        <v>103</v>
      </c>
      <c r="E135" s="82" t="s">
        <v>345</v>
      </c>
      <c r="F135" s="82" t="s">
        <v>326</v>
      </c>
      <c r="G135" s="82">
        <v>9.5</v>
      </c>
      <c r="H135" s="82">
        <v>11</v>
      </c>
      <c r="I135" s="83">
        <f t="shared" si="4"/>
        <v>86.36363636363636</v>
      </c>
      <c r="J135" s="82">
        <v>110.1</v>
      </c>
      <c r="K135" s="84">
        <v>19818</v>
      </c>
      <c r="L135" s="82">
        <v>0</v>
      </c>
      <c r="M135" s="82" t="s">
        <v>327</v>
      </c>
      <c r="N135" s="82">
        <v>2.7</v>
      </c>
      <c r="O135" s="82">
        <f t="shared" si="5"/>
        <v>65.165289256198335</v>
      </c>
    </row>
    <row r="136" spans="1:15" ht="15" customHeight="1" x14ac:dyDescent="0.25">
      <c r="A136" s="82" t="s">
        <v>507</v>
      </c>
      <c r="B136" s="82" t="s">
        <v>304</v>
      </c>
      <c r="C136" s="82" t="s">
        <v>322</v>
      </c>
      <c r="D136" s="82" t="s">
        <v>62</v>
      </c>
      <c r="E136" s="82" t="s">
        <v>314</v>
      </c>
      <c r="F136" s="82" t="s">
        <v>331</v>
      </c>
      <c r="G136" s="82">
        <v>4.0999999999999996</v>
      </c>
      <c r="H136" s="82">
        <v>9</v>
      </c>
      <c r="I136" s="83">
        <f t="shared" si="4"/>
        <v>45.55555555555555</v>
      </c>
      <c r="J136" s="82">
        <v>57.3</v>
      </c>
      <c r="K136" s="84">
        <v>10314</v>
      </c>
      <c r="L136" s="82">
        <v>0</v>
      </c>
      <c r="M136" s="82" t="s">
        <v>309</v>
      </c>
      <c r="N136" s="82">
        <v>0.8</v>
      </c>
      <c r="O136" s="82">
        <f t="shared" si="5"/>
        <v>41.506172839506164</v>
      </c>
    </row>
    <row r="137" spans="1:15" ht="15" customHeight="1" x14ac:dyDescent="0.25">
      <c r="A137" s="82" t="s">
        <v>508</v>
      </c>
      <c r="B137" s="82" t="s">
        <v>386</v>
      </c>
      <c r="C137" s="82" t="s">
        <v>340</v>
      </c>
      <c r="D137" s="82" t="s">
        <v>341</v>
      </c>
      <c r="E137" s="82" t="s">
        <v>410</v>
      </c>
      <c r="F137" s="82" t="s">
        <v>439</v>
      </c>
      <c r="G137" s="82">
        <v>8.9</v>
      </c>
      <c r="H137" s="82">
        <v>9</v>
      </c>
      <c r="I137" s="83">
        <f t="shared" si="4"/>
        <v>98.888888888888886</v>
      </c>
      <c r="J137" s="82">
        <v>80.099999999999994</v>
      </c>
      <c r="K137" s="84">
        <v>14418</v>
      </c>
      <c r="L137" s="82">
        <v>0</v>
      </c>
      <c r="M137" s="82" t="s">
        <v>327</v>
      </c>
      <c r="N137" s="82">
        <v>2.4</v>
      </c>
      <c r="O137" s="82">
        <f t="shared" si="5"/>
        <v>72.518518518518519</v>
      </c>
    </row>
    <row r="138" spans="1:15" ht="15" customHeight="1" x14ac:dyDescent="0.25">
      <c r="A138" s="82" t="s">
        <v>509</v>
      </c>
      <c r="B138" s="82" t="s">
        <v>67</v>
      </c>
      <c r="C138" s="82" t="s">
        <v>363</v>
      </c>
      <c r="D138" s="82" t="s">
        <v>103</v>
      </c>
      <c r="E138" s="82" t="s">
        <v>384</v>
      </c>
      <c r="F138" s="82" t="s">
        <v>308</v>
      </c>
      <c r="G138" s="82">
        <v>9.6</v>
      </c>
      <c r="H138" s="82">
        <v>10</v>
      </c>
      <c r="I138" s="83">
        <f t="shared" si="4"/>
        <v>96</v>
      </c>
      <c r="J138" s="82">
        <v>172</v>
      </c>
      <c r="K138" s="84">
        <v>30960</v>
      </c>
      <c r="L138" s="82">
        <v>0</v>
      </c>
      <c r="M138" s="82" t="s">
        <v>327</v>
      </c>
      <c r="N138" s="82">
        <v>1</v>
      </c>
      <c r="O138" s="82">
        <f t="shared" si="5"/>
        <v>86.4</v>
      </c>
    </row>
    <row r="139" spans="1:15" ht="15" customHeight="1" x14ac:dyDescent="0.25">
      <c r="A139" s="82" t="s">
        <v>510</v>
      </c>
      <c r="B139" s="82" t="s">
        <v>369</v>
      </c>
      <c r="C139" s="82" t="s">
        <v>329</v>
      </c>
      <c r="D139" s="82" t="s">
        <v>330</v>
      </c>
      <c r="E139" s="82" t="s">
        <v>423</v>
      </c>
      <c r="F139" s="82" t="s">
        <v>347</v>
      </c>
      <c r="G139" s="82">
        <v>9.6999999999999993</v>
      </c>
      <c r="H139" s="82">
        <v>10</v>
      </c>
      <c r="I139" s="83">
        <f t="shared" si="4"/>
        <v>97</v>
      </c>
      <c r="J139" s="82">
        <v>132.30000000000001</v>
      </c>
      <c r="K139" s="84">
        <v>23814</v>
      </c>
      <c r="L139" s="82">
        <v>0</v>
      </c>
      <c r="M139" s="82" t="s">
        <v>327</v>
      </c>
      <c r="N139" s="82">
        <v>3</v>
      </c>
      <c r="O139" s="82">
        <f t="shared" si="5"/>
        <v>67.899999999999991</v>
      </c>
    </row>
    <row r="140" spans="1:15" ht="15" customHeight="1" x14ac:dyDescent="0.25">
      <c r="A140" s="82" t="s">
        <v>511</v>
      </c>
      <c r="B140" s="82" t="s">
        <v>386</v>
      </c>
      <c r="C140" s="82" t="s">
        <v>340</v>
      </c>
      <c r="D140" s="82" t="s">
        <v>341</v>
      </c>
      <c r="E140" s="82" t="s">
        <v>435</v>
      </c>
      <c r="F140" s="82" t="s">
        <v>402</v>
      </c>
      <c r="G140" s="82">
        <v>4.3</v>
      </c>
      <c r="H140" s="82">
        <v>11</v>
      </c>
      <c r="I140" s="83">
        <f t="shared" si="4"/>
        <v>39.090909090909086</v>
      </c>
      <c r="J140" s="82">
        <v>36.799999999999997</v>
      </c>
      <c r="K140" s="84">
        <v>6624</v>
      </c>
      <c r="L140" s="82">
        <v>0</v>
      </c>
      <c r="M140" s="82" t="s">
        <v>327</v>
      </c>
      <c r="N140" s="82">
        <v>1.4</v>
      </c>
      <c r="O140" s="82">
        <f t="shared" si="5"/>
        <v>34.115702479338843</v>
      </c>
    </row>
    <row r="141" spans="1:15" ht="15" customHeight="1" x14ac:dyDescent="0.25">
      <c r="A141" s="82" t="s">
        <v>512</v>
      </c>
      <c r="B141" s="82" t="s">
        <v>369</v>
      </c>
      <c r="C141" s="82" t="s">
        <v>329</v>
      </c>
      <c r="D141" s="82" t="s">
        <v>330</v>
      </c>
      <c r="E141" s="82" t="s">
        <v>337</v>
      </c>
      <c r="F141" s="82" t="s">
        <v>319</v>
      </c>
      <c r="G141" s="82">
        <v>8.3000000000000007</v>
      </c>
      <c r="H141" s="82">
        <v>10</v>
      </c>
      <c r="I141" s="83">
        <f t="shared" si="4"/>
        <v>83</v>
      </c>
      <c r="J141" s="82">
        <v>142.69999999999999</v>
      </c>
      <c r="K141" s="84">
        <v>25686</v>
      </c>
      <c r="L141" s="82">
        <v>0</v>
      </c>
      <c r="M141" s="82" t="s">
        <v>327</v>
      </c>
      <c r="N141" s="82">
        <v>0.1</v>
      </c>
      <c r="O141" s="82">
        <f t="shared" si="5"/>
        <v>82.17</v>
      </c>
    </row>
    <row r="142" spans="1:15" ht="15" customHeight="1" x14ac:dyDescent="0.25">
      <c r="A142" s="82" t="s">
        <v>513</v>
      </c>
      <c r="B142" s="82" t="s">
        <v>321</v>
      </c>
      <c r="C142" s="82" t="s">
        <v>354</v>
      </c>
      <c r="D142" s="82" t="s">
        <v>96</v>
      </c>
      <c r="E142" s="82" t="s">
        <v>355</v>
      </c>
      <c r="F142" s="82" t="s">
        <v>367</v>
      </c>
      <c r="G142" s="82">
        <v>9.8000000000000007</v>
      </c>
      <c r="H142" s="82">
        <v>10</v>
      </c>
      <c r="I142" s="83">
        <f t="shared" si="4"/>
        <v>98.000000000000014</v>
      </c>
      <c r="J142" s="82">
        <v>115</v>
      </c>
      <c r="K142" s="84">
        <v>20700</v>
      </c>
      <c r="L142" s="82">
        <v>1</v>
      </c>
      <c r="M142" s="82" t="s">
        <v>327</v>
      </c>
      <c r="N142" s="82">
        <v>1.5</v>
      </c>
      <c r="O142" s="82">
        <f t="shared" si="5"/>
        <v>83.300000000000011</v>
      </c>
    </row>
    <row r="143" spans="1:15" ht="15" customHeight="1" x14ac:dyDescent="0.25">
      <c r="A143" s="82" t="s">
        <v>514</v>
      </c>
      <c r="B143" s="82" t="s">
        <v>71</v>
      </c>
      <c r="C143" s="82" t="s">
        <v>322</v>
      </c>
      <c r="D143" s="82" t="s">
        <v>62</v>
      </c>
      <c r="E143" s="82" t="s">
        <v>334</v>
      </c>
      <c r="F143" s="82" t="s">
        <v>402</v>
      </c>
      <c r="G143" s="82">
        <v>9.5</v>
      </c>
      <c r="H143" s="82">
        <v>11</v>
      </c>
      <c r="I143" s="83">
        <f t="shared" si="4"/>
        <v>86.36363636363636</v>
      </c>
      <c r="J143" s="82">
        <v>167.3</v>
      </c>
      <c r="K143" s="84">
        <v>30114</v>
      </c>
      <c r="L143" s="82">
        <v>0</v>
      </c>
      <c r="M143" s="82" t="s">
        <v>327</v>
      </c>
      <c r="N143" s="82">
        <v>2.9</v>
      </c>
      <c r="O143" s="82">
        <f t="shared" si="5"/>
        <v>63.595041322314046</v>
      </c>
    </row>
    <row r="144" spans="1:15" ht="15" customHeight="1" x14ac:dyDescent="0.25">
      <c r="A144" s="82" t="s">
        <v>515</v>
      </c>
      <c r="B144" s="82" t="s">
        <v>321</v>
      </c>
      <c r="C144" s="82" t="s">
        <v>322</v>
      </c>
      <c r="D144" s="82" t="s">
        <v>62</v>
      </c>
      <c r="E144" s="82" t="s">
        <v>408</v>
      </c>
      <c r="F144" s="82" t="s">
        <v>335</v>
      </c>
      <c r="G144" s="82">
        <v>10.5</v>
      </c>
      <c r="H144" s="82">
        <v>12</v>
      </c>
      <c r="I144" s="83">
        <f t="shared" si="4"/>
        <v>87.5</v>
      </c>
      <c r="J144" s="82">
        <v>123.7</v>
      </c>
      <c r="K144" s="84">
        <v>22266</v>
      </c>
      <c r="L144" s="82">
        <v>0</v>
      </c>
      <c r="M144" s="82" t="s">
        <v>327</v>
      </c>
      <c r="N144" s="82">
        <v>0.5</v>
      </c>
      <c r="O144" s="82">
        <f t="shared" si="5"/>
        <v>83.854166666666671</v>
      </c>
    </row>
    <row r="145" spans="1:15" ht="15" customHeight="1" x14ac:dyDescent="0.25">
      <c r="A145" s="82" t="s">
        <v>516</v>
      </c>
      <c r="B145" s="82" t="s">
        <v>67</v>
      </c>
      <c r="C145" s="82" t="s">
        <v>329</v>
      </c>
      <c r="D145" s="82" t="s">
        <v>330</v>
      </c>
      <c r="E145" s="82" t="s">
        <v>314</v>
      </c>
      <c r="F145" s="82" t="s">
        <v>439</v>
      </c>
      <c r="G145" s="82">
        <v>4.7</v>
      </c>
      <c r="H145" s="82">
        <v>8</v>
      </c>
      <c r="I145" s="83">
        <f t="shared" si="4"/>
        <v>58.75</v>
      </c>
      <c r="J145" s="82">
        <v>52.6</v>
      </c>
      <c r="K145" s="84">
        <v>9468</v>
      </c>
      <c r="L145" s="82">
        <v>0</v>
      </c>
      <c r="M145" s="82" t="s">
        <v>309</v>
      </c>
      <c r="N145" s="82">
        <v>1.9</v>
      </c>
      <c r="O145" s="82">
        <f t="shared" si="5"/>
        <v>44.796875</v>
      </c>
    </row>
    <row r="146" spans="1:15" ht="15" customHeight="1" x14ac:dyDescent="0.25">
      <c r="A146" s="82" t="s">
        <v>517</v>
      </c>
      <c r="B146" s="82" t="s">
        <v>349</v>
      </c>
      <c r="C146" s="82" t="s">
        <v>361</v>
      </c>
      <c r="D146" s="82" t="s">
        <v>119</v>
      </c>
      <c r="E146" s="82" t="s">
        <v>334</v>
      </c>
      <c r="F146" s="82" t="s">
        <v>396</v>
      </c>
      <c r="G146" s="82">
        <v>5</v>
      </c>
      <c r="H146" s="82">
        <v>8</v>
      </c>
      <c r="I146" s="83">
        <f t="shared" si="4"/>
        <v>62.5</v>
      </c>
      <c r="J146" s="82">
        <v>89.1</v>
      </c>
      <c r="K146" s="84">
        <v>16038</v>
      </c>
      <c r="L146" s="82">
        <v>0</v>
      </c>
      <c r="M146" s="82" t="s">
        <v>309</v>
      </c>
      <c r="N146" s="82">
        <v>0.3</v>
      </c>
      <c r="O146" s="82">
        <f t="shared" si="5"/>
        <v>60.15625</v>
      </c>
    </row>
    <row r="147" spans="1:15" ht="15" customHeight="1" x14ac:dyDescent="0.25">
      <c r="A147" s="82" t="s">
        <v>518</v>
      </c>
      <c r="B147" s="82" t="s">
        <v>369</v>
      </c>
      <c r="C147" s="82" t="s">
        <v>361</v>
      </c>
      <c r="D147" s="82" t="s">
        <v>119</v>
      </c>
      <c r="E147" s="82" t="s">
        <v>423</v>
      </c>
      <c r="F147" s="82" t="s">
        <v>331</v>
      </c>
      <c r="G147" s="82">
        <v>5.2</v>
      </c>
      <c r="H147" s="82">
        <v>9</v>
      </c>
      <c r="I147" s="83">
        <f t="shared" si="4"/>
        <v>57.777777777777786</v>
      </c>
      <c r="J147" s="82">
        <v>45.1</v>
      </c>
      <c r="K147" s="84">
        <v>8118</v>
      </c>
      <c r="L147" s="82">
        <v>0</v>
      </c>
      <c r="M147" s="82" t="s">
        <v>327</v>
      </c>
      <c r="N147" s="82">
        <v>0</v>
      </c>
      <c r="O147" s="82">
        <f t="shared" si="5"/>
        <v>57.777777777777786</v>
      </c>
    </row>
    <row r="148" spans="1:15" ht="15" customHeight="1" x14ac:dyDescent="0.25">
      <c r="A148" s="82" t="s">
        <v>519</v>
      </c>
      <c r="B148" s="82" t="s">
        <v>360</v>
      </c>
      <c r="C148" s="82" t="s">
        <v>361</v>
      </c>
      <c r="D148" s="82" t="s">
        <v>119</v>
      </c>
      <c r="E148" s="82" t="s">
        <v>379</v>
      </c>
      <c r="F148" s="82" t="s">
        <v>402</v>
      </c>
      <c r="G148" s="82">
        <v>7.5</v>
      </c>
      <c r="H148" s="82">
        <v>11</v>
      </c>
      <c r="I148" s="83">
        <f t="shared" si="4"/>
        <v>68.181818181818173</v>
      </c>
      <c r="J148" s="82">
        <v>88.4</v>
      </c>
      <c r="K148" s="84">
        <v>15912</v>
      </c>
      <c r="L148" s="82">
        <v>0</v>
      </c>
      <c r="M148" s="82" t="s">
        <v>327</v>
      </c>
      <c r="N148" s="82">
        <v>1.4</v>
      </c>
      <c r="O148" s="82">
        <f t="shared" si="5"/>
        <v>59.504132231404952</v>
      </c>
    </row>
    <row r="149" spans="1:15" ht="15" customHeight="1" x14ac:dyDescent="0.25">
      <c r="A149" s="82" t="s">
        <v>520</v>
      </c>
      <c r="B149" s="82" t="s">
        <v>321</v>
      </c>
      <c r="C149" s="82" t="s">
        <v>363</v>
      </c>
      <c r="D149" s="82" t="s">
        <v>103</v>
      </c>
      <c r="E149" s="82" t="s">
        <v>323</v>
      </c>
      <c r="F149" s="82" t="s">
        <v>382</v>
      </c>
      <c r="G149" s="82">
        <v>7.2</v>
      </c>
      <c r="H149" s="82">
        <v>8</v>
      </c>
      <c r="I149" s="83">
        <f t="shared" si="4"/>
        <v>90</v>
      </c>
      <c r="J149" s="82">
        <v>60</v>
      </c>
      <c r="K149" s="84">
        <v>10800</v>
      </c>
      <c r="L149" s="82">
        <v>0</v>
      </c>
      <c r="M149" s="82" t="s">
        <v>327</v>
      </c>
      <c r="N149" s="82">
        <v>0.3</v>
      </c>
      <c r="O149" s="82">
        <f t="shared" si="5"/>
        <v>86.625</v>
      </c>
    </row>
    <row r="150" spans="1:15" ht="15" customHeight="1" x14ac:dyDescent="0.25">
      <c r="A150" s="82" t="s">
        <v>521</v>
      </c>
      <c r="B150" s="82" t="s">
        <v>369</v>
      </c>
      <c r="C150" s="82" t="s">
        <v>354</v>
      </c>
      <c r="D150" s="82" t="s">
        <v>96</v>
      </c>
      <c r="E150" s="82" t="s">
        <v>314</v>
      </c>
      <c r="F150" s="82" t="s">
        <v>402</v>
      </c>
      <c r="G150" s="82">
        <v>6.2</v>
      </c>
      <c r="H150" s="82">
        <v>8</v>
      </c>
      <c r="I150" s="83">
        <f t="shared" si="4"/>
        <v>77.5</v>
      </c>
      <c r="J150" s="82">
        <v>105.3</v>
      </c>
      <c r="K150" s="84">
        <v>18954</v>
      </c>
      <c r="L150" s="82">
        <v>0</v>
      </c>
      <c r="M150" s="82" t="s">
        <v>327</v>
      </c>
      <c r="N150" s="82">
        <v>1.8</v>
      </c>
      <c r="O150" s="82">
        <f t="shared" si="5"/>
        <v>60.0625</v>
      </c>
    </row>
    <row r="151" spans="1:15" ht="15" customHeight="1" x14ac:dyDescent="0.25">
      <c r="A151" s="82" t="s">
        <v>522</v>
      </c>
      <c r="B151" s="82" t="s">
        <v>386</v>
      </c>
      <c r="C151" s="82" t="s">
        <v>317</v>
      </c>
      <c r="D151" s="82" t="s">
        <v>51</v>
      </c>
      <c r="E151" s="82" t="s">
        <v>379</v>
      </c>
      <c r="F151" s="82" t="s">
        <v>352</v>
      </c>
      <c r="G151" s="82">
        <v>7</v>
      </c>
      <c r="H151" s="82">
        <v>9</v>
      </c>
      <c r="I151" s="83">
        <f t="shared" si="4"/>
        <v>77.777777777777786</v>
      </c>
      <c r="J151" s="82">
        <v>86.4</v>
      </c>
      <c r="K151" s="84">
        <v>15552</v>
      </c>
      <c r="L151" s="82">
        <v>0</v>
      </c>
      <c r="M151" s="82" t="s">
        <v>327</v>
      </c>
      <c r="N151" s="82">
        <v>2.9</v>
      </c>
      <c r="O151" s="82">
        <f t="shared" si="5"/>
        <v>52.716049382716058</v>
      </c>
    </row>
    <row r="152" spans="1:15" ht="15" customHeight="1" x14ac:dyDescent="0.25">
      <c r="A152" s="82" t="s">
        <v>523</v>
      </c>
      <c r="B152" s="82" t="s">
        <v>360</v>
      </c>
      <c r="C152" s="82" t="s">
        <v>340</v>
      </c>
      <c r="D152" s="82" t="s">
        <v>341</v>
      </c>
      <c r="E152" s="82" t="s">
        <v>345</v>
      </c>
      <c r="F152" s="82" t="s">
        <v>331</v>
      </c>
      <c r="G152" s="82">
        <v>5.8</v>
      </c>
      <c r="H152" s="82">
        <v>10</v>
      </c>
      <c r="I152" s="83">
        <f t="shared" si="4"/>
        <v>57.999999999999993</v>
      </c>
      <c r="J152" s="82">
        <v>52</v>
      </c>
      <c r="K152" s="84">
        <v>9360</v>
      </c>
      <c r="L152" s="82">
        <v>0</v>
      </c>
      <c r="M152" s="82" t="s">
        <v>327</v>
      </c>
      <c r="N152" s="82">
        <v>1.5</v>
      </c>
      <c r="O152" s="82">
        <f t="shared" si="5"/>
        <v>49.29999999999999</v>
      </c>
    </row>
    <row r="153" spans="1:15" ht="15" customHeight="1" x14ac:dyDescent="0.25">
      <c r="A153" s="82" t="s">
        <v>524</v>
      </c>
      <c r="B153" s="82" t="s">
        <v>67</v>
      </c>
      <c r="C153" s="82" t="s">
        <v>322</v>
      </c>
      <c r="D153" s="82" t="s">
        <v>62</v>
      </c>
      <c r="E153" s="82" t="s">
        <v>423</v>
      </c>
      <c r="F153" s="82" t="s">
        <v>338</v>
      </c>
      <c r="G153" s="82">
        <v>5.2</v>
      </c>
      <c r="H153" s="82">
        <v>8</v>
      </c>
      <c r="I153" s="83">
        <f t="shared" si="4"/>
        <v>65</v>
      </c>
      <c r="J153" s="82">
        <v>76</v>
      </c>
      <c r="K153" s="84">
        <v>13680</v>
      </c>
      <c r="L153" s="82">
        <v>0</v>
      </c>
      <c r="M153" s="82" t="s">
        <v>327</v>
      </c>
      <c r="N153" s="82">
        <v>0.1</v>
      </c>
      <c r="O153" s="82">
        <f t="shared" si="5"/>
        <v>64.1875</v>
      </c>
    </row>
    <row r="154" spans="1:15" ht="15" customHeight="1" x14ac:dyDescent="0.25">
      <c r="A154" s="82" t="s">
        <v>525</v>
      </c>
      <c r="B154" s="82" t="s">
        <v>311</v>
      </c>
      <c r="C154" s="82" t="s">
        <v>305</v>
      </c>
      <c r="D154" s="82" t="s">
        <v>306</v>
      </c>
      <c r="E154" s="82" t="s">
        <v>307</v>
      </c>
      <c r="F154" s="82" t="s">
        <v>406</v>
      </c>
      <c r="G154" s="82">
        <v>5.2</v>
      </c>
      <c r="H154" s="82">
        <v>8</v>
      </c>
      <c r="I154" s="83">
        <f t="shared" si="4"/>
        <v>65</v>
      </c>
      <c r="J154" s="82">
        <v>62.3</v>
      </c>
      <c r="K154" s="84">
        <v>11214</v>
      </c>
      <c r="L154" s="82">
        <v>0</v>
      </c>
      <c r="M154" s="82" t="s">
        <v>309</v>
      </c>
      <c r="N154" s="82">
        <v>0.3</v>
      </c>
      <c r="O154" s="82">
        <f t="shared" si="5"/>
        <v>62.5625</v>
      </c>
    </row>
    <row r="155" spans="1:15" ht="15" customHeight="1" x14ac:dyDescent="0.25">
      <c r="A155" s="82" t="s">
        <v>526</v>
      </c>
      <c r="B155" s="82" t="s">
        <v>304</v>
      </c>
      <c r="C155" s="82" t="s">
        <v>333</v>
      </c>
      <c r="D155" s="82" t="s">
        <v>86</v>
      </c>
      <c r="E155" s="82" t="s">
        <v>323</v>
      </c>
      <c r="F155" s="82" t="s">
        <v>315</v>
      </c>
      <c r="G155" s="82">
        <v>6.6</v>
      </c>
      <c r="H155" s="82">
        <v>11</v>
      </c>
      <c r="I155" s="83">
        <f t="shared" si="4"/>
        <v>60</v>
      </c>
      <c r="J155" s="82">
        <v>82.2</v>
      </c>
      <c r="K155" s="84">
        <v>14796</v>
      </c>
      <c r="L155" s="82">
        <v>0</v>
      </c>
      <c r="M155" s="82" t="s">
        <v>327</v>
      </c>
      <c r="N155" s="82">
        <v>0.7</v>
      </c>
      <c r="O155" s="82">
        <f t="shared" si="5"/>
        <v>56.181818181818187</v>
      </c>
    </row>
    <row r="156" spans="1:15" ht="15" customHeight="1" x14ac:dyDescent="0.25">
      <c r="A156" s="82" t="s">
        <v>527</v>
      </c>
      <c r="B156" s="82" t="s">
        <v>71</v>
      </c>
      <c r="C156" s="82" t="s">
        <v>329</v>
      </c>
      <c r="D156" s="82" t="s">
        <v>330</v>
      </c>
      <c r="E156" s="82" t="s">
        <v>318</v>
      </c>
      <c r="F156" s="82" t="s">
        <v>319</v>
      </c>
      <c r="G156" s="82">
        <v>4.3</v>
      </c>
      <c r="H156" s="82">
        <v>8</v>
      </c>
      <c r="I156" s="83">
        <f t="shared" si="4"/>
        <v>53.75</v>
      </c>
      <c r="J156" s="82">
        <v>49.2</v>
      </c>
      <c r="K156" s="84">
        <v>8856</v>
      </c>
      <c r="L156" s="82">
        <v>0</v>
      </c>
      <c r="M156" s="82" t="s">
        <v>343</v>
      </c>
      <c r="N156" s="82">
        <v>1.8</v>
      </c>
      <c r="O156" s="82">
        <f t="shared" si="5"/>
        <v>41.65625</v>
      </c>
    </row>
    <row r="157" spans="1:15" ht="15" customHeight="1" x14ac:dyDescent="0.25">
      <c r="A157" s="82" t="s">
        <v>528</v>
      </c>
      <c r="B157" s="82" t="s">
        <v>304</v>
      </c>
      <c r="C157" s="82" t="s">
        <v>317</v>
      </c>
      <c r="D157" s="82" t="s">
        <v>51</v>
      </c>
      <c r="E157" s="82" t="s">
        <v>314</v>
      </c>
      <c r="F157" s="82" t="s">
        <v>367</v>
      </c>
      <c r="G157" s="82">
        <v>10.8</v>
      </c>
      <c r="H157" s="82">
        <v>11</v>
      </c>
      <c r="I157" s="83">
        <f t="shared" si="4"/>
        <v>98.181818181818187</v>
      </c>
      <c r="J157" s="82">
        <v>160.6</v>
      </c>
      <c r="K157" s="84">
        <v>28908</v>
      </c>
      <c r="L157" s="82">
        <v>1</v>
      </c>
      <c r="M157" s="82" t="s">
        <v>327</v>
      </c>
      <c r="N157" s="82">
        <v>2.2000000000000002</v>
      </c>
      <c r="O157" s="82">
        <f t="shared" si="5"/>
        <v>78.545454545454561</v>
      </c>
    </row>
    <row r="158" spans="1:15" ht="15" customHeight="1" x14ac:dyDescent="0.25">
      <c r="A158" s="82" t="s">
        <v>529</v>
      </c>
      <c r="B158" s="82" t="s">
        <v>71</v>
      </c>
      <c r="C158" s="82" t="s">
        <v>312</v>
      </c>
      <c r="D158" s="82" t="s">
        <v>313</v>
      </c>
      <c r="E158" s="82" t="s">
        <v>314</v>
      </c>
      <c r="F158" s="82" t="s">
        <v>347</v>
      </c>
      <c r="G158" s="82">
        <v>6</v>
      </c>
      <c r="H158" s="82">
        <v>8</v>
      </c>
      <c r="I158" s="83">
        <f t="shared" si="4"/>
        <v>75</v>
      </c>
      <c r="J158" s="82">
        <v>102</v>
      </c>
      <c r="K158" s="84">
        <v>18360</v>
      </c>
      <c r="L158" s="82">
        <v>0</v>
      </c>
      <c r="M158" s="82" t="s">
        <v>309</v>
      </c>
      <c r="N158" s="82">
        <v>1.9</v>
      </c>
      <c r="O158" s="82">
        <f t="shared" si="5"/>
        <v>57.1875</v>
      </c>
    </row>
    <row r="159" spans="1:15" ht="15" customHeight="1" x14ac:dyDescent="0.25">
      <c r="A159" s="82" t="s">
        <v>530</v>
      </c>
      <c r="B159" s="82" t="s">
        <v>349</v>
      </c>
      <c r="C159" s="82" t="s">
        <v>361</v>
      </c>
      <c r="D159" s="82" t="s">
        <v>119</v>
      </c>
      <c r="E159" s="82" t="s">
        <v>323</v>
      </c>
      <c r="F159" s="82" t="s">
        <v>402</v>
      </c>
      <c r="G159" s="82">
        <v>8</v>
      </c>
      <c r="H159" s="82">
        <v>9</v>
      </c>
      <c r="I159" s="83">
        <f t="shared" si="4"/>
        <v>88.888888888888886</v>
      </c>
      <c r="J159" s="82">
        <v>74.099999999999994</v>
      </c>
      <c r="K159" s="84">
        <v>13338</v>
      </c>
      <c r="L159" s="82">
        <v>0</v>
      </c>
      <c r="M159" s="82" t="s">
        <v>343</v>
      </c>
      <c r="N159" s="82">
        <v>1.3</v>
      </c>
      <c r="O159" s="82">
        <f t="shared" si="5"/>
        <v>76.049382716049379</v>
      </c>
    </row>
    <row r="160" spans="1:15" ht="15" customHeight="1" x14ac:dyDescent="0.25">
      <c r="A160" s="82" t="s">
        <v>531</v>
      </c>
      <c r="B160" s="82" t="s">
        <v>311</v>
      </c>
      <c r="C160" s="82" t="s">
        <v>329</v>
      </c>
      <c r="D160" s="82" t="s">
        <v>330</v>
      </c>
      <c r="E160" s="82" t="s">
        <v>376</v>
      </c>
      <c r="F160" s="82" t="s">
        <v>396</v>
      </c>
      <c r="G160" s="82">
        <v>4.3</v>
      </c>
      <c r="H160" s="82">
        <v>8</v>
      </c>
      <c r="I160" s="83">
        <f t="shared" si="4"/>
        <v>53.75</v>
      </c>
      <c r="J160" s="82">
        <v>58.3</v>
      </c>
      <c r="K160" s="84">
        <v>10494</v>
      </c>
      <c r="L160" s="82">
        <v>0</v>
      </c>
      <c r="M160" s="82" t="s">
        <v>309</v>
      </c>
      <c r="N160" s="82">
        <v>1.6</v>
      </c>
      <c r="O160" s="82">
        <f t="shared" si="5"/>
        <v>43</v>
      </c>
    </row>
    <row r="161" spans="1:15" ht="15" customHeight="1" x14ac:dyDescent="0.25">
      <c r="A161" s="82" t="s">
        <v>532</v>
      </c>
      <c r="B161" s="82" t="s">
        <v>67</v>
      </c>
      <c r="C161" s="82" t="s">
        <v>329</v>
      </c>
      <c r="D161" s="82" t="s">
        <v>330</v>
      </c>
      <c r="E161" s="82" t="s">
        <v>384</v>
      </c>
      <c r="F161" s="82" t="s">
        <v>367</v>
      </c>
      <c r="G161" s="82">
        <v>4.8</v>
      </c>
      <c r="H161" s="82">
        <v>11</v>
      </c>
      <c r="I161" s="83">
        <f t="shared" si="4"/>
        <v>43.636363636363633</v>
      </c>
      <c r="J161" s="82">
        <v>45.6</v>
      </c>
      <c r="K161" s="84">
        <v>8208</v>
      </c>
      <c r="L161" s="82">
        <v>0</v>
      </c>
      <c r="M161" s="82" t="s">
        <v>327</v>
      </c>
      <c r="N161" s="82">
        <v>2.9</v>
      </c>
      <c r="O161" s="82">
        <f t="shared" si="5"/>
        <v>32.132231404958674</v>
      </c>
    </row>
    <row r="162" spans="1:15" ht="15" customHeight="1" x14ac:dyDescent="0.25">
      <c r="A162" s="82" t="s">
        <v>533</v>
      </c>
      <c r="B162" s="82" t="s">
        <v>349</v>
      </c>
      <c r="C162" s="82" t="s">
        <v>312</v>
      </c>
      <c r="D162" s="82" t="s">
        <v>313</v>
      </c>
      <c r="E162" s="82" t="s">
        <v>384</v>
      </c>
      <c r="F162" s="82" t="s">
        <v>427</v>
      </c>
      <c r="G162" s="82">
        <v>9.1999999999999993</v>
      </c>
      <c r="H162" s="82">
        <v>10</v>
      </c>
      <c r="I162" s="83">
        <f t="shared" si="4"/>
        <v>92</v>
      </c>
      <c r="J162" s="82">
        <v>154.6</v>
      </c>
      <c r="K162" s="84">
        <v>27828</v>
      </c>
      <c r="L162" s="82">
        <v>1</v>
      </c>
      <c r="M162" s="82" t="s">
        <v>327</v>
      </c>
      <c r="N162" s="82">
        <v>4.3</v>
      </c>
      <c r="O162" s="82">
        <f t="shared" si="5"/>
        <v>52.440000000000005</v>
      </c>
    </row>
    <row r="163" spans="1:15" ht="15" customHeight="1" x14ac:dyDescent="0.25">
      <c r="A163" s="82" t="s">
        <v>534</v>
      </c>
      <c r="B163" s="82" t="s">
        <v>321</v>
      </c>
      <c r="C163" s="82" t="s">
        <v>329</v>
      </c>
      <c r="D163" s="82" t="s">
        <v>330</v>
      </c>
      <c r="E163" s="82" t="s">
        <v>325</v>
      </c>
      <c r="F163" s="82" t="s">
        <v>389</v>
      </c>
      <c r="G163" s="82">
        <v>5.4</v>
      </c>
      <c r="H163" s="82">
        <v>9</v>
      </c>
      <c r="I163" s="83">
        <f t="shared" si="4"/>
        <v>60.000000000000007</v>
      </c>
      <c r="J163" s="82">
        <v>51</v>
      </c>
      <c r="K163" s="84">
        <v>9180</v>
      </c>
      <c r="L163" s="82">
        <v>0</v>
      </c>
      <c r="M163" s="82" t="s">
        <v>309</v>
      </c>
      <c r="N163" s="82">
        <v>0.1</v>
      </c>
      <c r="O163" s="82">
        <f t="shared" si="5"/>
        <v>59.333333333333343</v>
      </c>
    </row>
    <row r="164" spans="1:15" ht="15" customHeight="1" x14ac:dyDescent="0.25">
      <c r="A164" s="82" t="s">
        <v>535</v>
      </c>
      <c r="B164" s="82" t="s">
        <v>369</v>
      </c>
      <c r="C164" s="82" t="s">
        <v>363</v>
      </c>
      <c r="D164" s="82" t="s">
        <v>103</v>
      </c>
      <c r="E164" s="82" t="s">
        <v>318</v>
      </c>
      <c r="F164" s="82" t="s">
        <v>364</v>
      </c>
      <c r="G164" s="82">
        <v>10.4</v>
      </c>
      <c r="H164" s="82">
        <v>11</v>
      </c>
      <c r="I164" s="83">
        <f t="shared" si="4"/>
        <v>94.545454545454547</v>
      </c>
      <c r="J164" s="82">
        <v>176.5</v>
      </c>
      <c r="K164" s="84">
        <v>31770</v>
      </c>
      <c r="L164" s="82">
        <v>0</v>
      </c>
      <c r="M164" s="82" t="s">
        <v>309</v>
      </c>
      <c r="N164" s="82">
        <v>0.9</v>
      </c>
      <c r="O164" s="82">
        <f t="shared" si="5"/>
        <v>86.809917355371908</v>
      </c>
    </row>
    <row r="165" spans="1:15" ht="15" customHeight="1" x14ac:dyDescent="0.25">
      <c r="A165" s="82" t="s">
        <v>536</v>
      </c>
      <c r="B165" s="82" t="s">
        <v>71</v>
      </c>
      <c r="C165" s="82" t="s">
        <v>361</v>
      </c>
      <c r="D165" s="82" t="s">
        <v>119</v>
      </c>
      <c r="E165" s="82" t="s">
        <v>355</v>
      </c>
      <c r="F165" s="82" t="s">
        <v>374</v>
      </c>
      <c r="G165" s="82">
        <v>5.5</v>
      </c>
      <c r="H165" s="82">
        <v>9</v>
      </c>
      <c r="I165" s="83">
        <f t="shared" si="4"/>
        <v>61.111111111111114</v>
      </c>
      <c r="J165" s="82">
        <v>84.9</v>
      </c>
      <c r="K165" s="84">
        <v>15282</v>
      </c>
      <c r="L165" s="82">
        <v>0</v>
      </c>
      <c r="M165" s="82" t="s">
        <v>327</v>
      </c>
      <c r="N165" s="82">
        <v>2.2000000000000002</v>
      </c>
      <c r="O165" s="82">
        <f t="shared" si="5"/>
        <v>46.172839506172842</v>
      </c>
    </row>
    <row r="166" spans="1:15" ht="15" customHeight="1" x14ac:dyDescent="0.25">
      <c r="A166" s="82" t="s">
        <v>537</v>
      </c>
      <c r="B166" s="82" t="s">
        <v>321</v>
      </c>
      <c r="C166" s="82" t="s">
        <v>312</v>
      </c>
      <c r="D166" s="82" t="s">
        <v>313</v>
      </c>
      <c r="E166" s="82" t="s">
        <v>337</v>
      </c>
      <c r="F166" s="82" t="s">
        <v>382</v>
      </c>
      <c r="G166" s="82">
        <v>8.6</v>
      </c>
      <c r="H166" s="82">
        <v>9</v>
      </c>
      <c r="I166" s="83">
        <f t="shared" si="4"/>
        <v>95.555555555555543</v>
      </c>
      <c r="J166" s="82">
        <v>103.8</v>
      </c>
      <c r="K166" s="84">
        <v>18684</v>
      </c>
      <c r="L166" s="82">
        <v>0</v>
      </c>
      <c r="M166" s="82" t="s">
        <v>327</v>
      </c>
      <c r="N166" s="82">
        <v>1.1000000000000001</v>
      </c>
      <c r="O166" s="82">
        <f t="shared" si="5"/>
        <v>83.87654320987653</v>
      </c>
    </row>
    <row r="167" spans="1:15" ht="15" customHeight="1" x14ac:dyDescent="0.25">
      <c r="A167" s="82" t="s">
        <v>538</v>
      </c>
      <c r="B167" s="82" t="s">
        <v>67</v>
      </c>
      <c r="C167" s="82" t="s">
        <v>340</v>
      </c>
      <c r="D167" s="82" t="s">
        <v>341</v>
      </c>
      <c r="E167" s="82" t="s">
        <v>323</v>
      </c>
      <c r="F167" s="82" t="s">
        <v>454</v>
      </c>
      <c r="G167" s="82">
        <v>8.3000000000000007</v>
      </c>
      <c r="H167" s="82">
        <v>10</v>
      </c>
      <c r="I167" s="83">
        <f t="shared" si="4"/>
        <v>83</v>
      </c>
      <c r="J167" s="82">
        <v>99.9</v>
      </c>
      <c r="K167" s="84">
        <v>17982</v>
      </c>
      <c r="L167" s="82">
        <v>0</v>
      </c>
      <c r="M167" s="82" t="s">
        <v>327</v>
      </c>
      <c r="N167" s="82">
        <v>1.7</v>
      </c>
      <c r="O167" s="82">
        <f t="shared" si="5"/>
        <v>68.89</v>
      </c>
    </row>
    <row r="168" spans="1:15" ht="15" customHeight="1" x14ac:dyDescent="0.25">
      <c r="A168" s="82" t="s">
        <v>539</v>
      </c>
      <c r="B168" s="82" t="s">
        <v>311</v>
      </c>
      <c r="C168" s="82" t="s">
        <v>363</v>
      </c>
      <c r="D168" s="82" t="s">
        <v>103</v>
      </c>
      <c r="E168" s="82" t="s">
        <v>337</v>
      </c>
      <c r="F168" s="82" t="s">
        <v>389</v>
      </c>
      <c r="G168" s="82">
        <v>4.2</v>
      </c>
      <c r="H168" s="82">
        <v>9</v>
      </c>
      <c r="I168" s="83">
        <f t="shared" si="4"/>
        <v>46.666666666666664</v>
      </c>
      <c r="J168" s="82">
        <v>35.700000000000003</v>
      </c>
      <c r="K168" s="84">
        <v>6426</v>
      </c>
      <c r="L168" s="82">
        <v>0</v>
      </c>
      <c r="M168" s="82" t="s">
        <v>327</v>
      </c>
      <c r="N168" s="82">
        <v>1.1000000000000001</v>
      </c>
      <c r="O168" s="82">
        <f t="shared" si="5"/>
        <v>40.962962962962962</v>
      </c>
    </row>
    <row r="169" spans="1:15" ht="15" customHeight="1" x14ac:dyDescent="0.25">
      <c r="A169" s="82" t="s">
        <v>540</v>
      </c>
      <c r="B169" s="82" t="s">
        <v>386</v>
      </c>
      <c r="C169" s="82" t="s">
        <v>340</v>
      </c>
      <c r="D169" s="82" t="s">
        <v>341</v>
      </c>
      <c r="E169" s="82" t="s">
        <v>314</v>
      </c>
      <c r="F169" s="82" t="s">
        <v>352</v>
      </c>
      <c r="G169" s="82">
        <v>6.7</v>
      </c>
      <c r="H169" s="82">
        <v>8</v>
      </c>
      <c r="I169" s="83">
        <f t="shared" si="4"/>
        <v>83.75</v>
      </c>
      <c r="J169" s="82">
        <v>69.8</v>
      </c>
      <c r="K169" s="84">
        <v>12564</v>
      </c>
      <c r="L169" s="82">
        <v>0</v>
      </c>
      <c r="M169" s="82" t="s">
        <v>327</v>
      </c>
      <c r="N169" s="82">
        <v>2.9</v>
      </c>
      <c r="O169" s="82">
        <f t="shared" si="5"/>
        <v>53.390624999999993</v>
      </c>
    </row>
    <row r="170" spans="1:15" ht="15" customHeight="1" x14ac:dyDescent="0.25">
      <c r="A170" s="82" t="s">
        <v>541</v>
      </c>
      <c r="B170" s="82" t="s">
        <v>386</v>
      </c>
      <c r="C170" s="82" t="s">
        <v>329</v>
      </c>
      <c r="D170" s="82" t="s">
        <v>330</v>
      </c>
      <c r="E170" s="82" t="s">
        <v>345</v>
      </c>
      <c r="F170" s="82" t="s">
        <v>315</v>
      </c>
      <c r="G170" s="82">
        <v>5</v>
      </c>
      <c r="H170" s="82">
        <v>10</v>
      </c>
      <c r="I170" s="83">
        <f t="shared" si="4"/>
        <v>50</v>
      </c>
      <c r="J170" s="82">
        <v>84.7</v>
      </c>
      <c r="K170" s="84">
        <v>15246</v>
      </c>
      <c r="L170" s="82">
        <v>0</v>
      </c>
      <c r="M170" s="82" t="s">
        <v>309</v>
      </c>
      <c r="N170" s="82">
        <v>0.9</v>
      </c>
      <c r="O170" s="82">
        <f t="shared" si="5"/>
        <v>45.5</v>
      </c>
    </row>
    <row r="171" spans="1:15" ht="15" customHeight="1" x14ac:dyDescent="0.25">
      <c r="A171" s="82" t="s">
        <v>542</v>
      </c>
      <c r="B171" s="82" t="s">
        <v>360</v>
      </c>
      <c r="C171" s="82" t="s">
        <v>317</v>
      </c>
      <c r="D171" s="82" t="s">
        <v>51</v>
      </c>
      <c r="E171" s="82" t="s">
        <v>323</v>
      </c>
      <c r="F171" s="82" t="s">
        <v>439</v>
      </c>
      <c r="G171" s="82">
        <v>8.3000000000000007</v>
      </c>
      <c r="H171" s="82">
        <v>9</v>
      </c>
      <c r="I171" s="83">
        <f t="shared" si="4"/>
        <v>92.222222222222229</v>
      </c>
      <c r="J171" s="82">
        <v>120.1</v>
      </c>
      <c r="K171" s="84">
        <v>21618</v>
      </c>
      <c r="L171" s="82">
        <v>0</v>
      </c>
      <c r="M171" s="82" t="s">
        <v>327</v>
      </c>
      <c r="N171" s="82">
        <v>1.2</v>
      </c>
      <c r="O171" s="82">
        <f t="shared" si="5"/>
        <v>79.925925925925938</v>
      </c>
    </row>
    <row r="172" spans="1:15" ht="15" customHeight="1" x14ac:dyDescent="0.25">
      <c r="A172" s="82" t="s">
        <v>543</v>
      </c>
      <c r="B172" s="82" t="s">
        <v>67</v>
      </c>
      <c r="C172" s="82" t="s">
        <v>317</v>
      </c>
      <c r="D172" s="82" t="s">
        <v>51</v>
      </c>
      <c r="E172" s="82" t="s">
        <v>325</v>
      </c>
      <c r="F172" s="82" t="s">
        <v>319</v>
      </c>
      <c r="G172" s="82">
        <v>7</v>
      </c>
      <c r="H172" s="82">
        <v>9</v>
      </c>
      <c r="I172" s="83">
        <f t="shared" si="4"/>
        <v>77.777777777777786</v>
      </c>
      <c r="J172" s="82">
        <v>56.6</v>
      </c>
      <c r="K172" s="84">
        <v>10188</v>
      </c>
      <c r="L172" s="82">
        <v>0</v>
      </c>
      <c r="M172" s="82" t="s">
        <v>309</v>
      </c>
      <c r="N172" s="82">
        <v>0.9</v>
      </c>
      <c r="O172" s="82">
        <f t="shared" si="5"/>
        <v>70.000000000000014</v>
      </c>
    </row>
    <row r="173" spans="1:15" ht="15" customHeight="1" x14ac:dyDescent="0.25">
      <c r="A173" s="82" t="s">
        <v>544</v>
      </c>
      <c r="B173" s="82" t="s">
        <v>71</v>
      </c>
      <c r="C173" s="82" t="s">
        <v>333</v>
      </c>
      <c r="D173" s="82" t="s">
        <v>86</v>
      </c>
      <c r="E173" s="82" t="s">
        <v>314</v>
      </c>
      <c r="F173" s="82" t="s">
        <v>315</v>
      </c>
      <c r="G173" s="82">
        <v>5.8</v>
      </c>
      <c r="H173" s="82">
        <v>11</v>
      </c>
      <c r="I173" s="83">
        <f t="shared" si="4"/>
        <v>52.72727272727272</v>
      </c>
      <c r="J173" s="82">
        <v>73.5</v>
      </c>
      <c r="K173" s="84">
        <v>13230</v>
      </c>
      <c r="L173" s="82">
        <v>0</v>
      </c>
      <c r="M173" s="82" t="s">
        <v>309</v>
      </c>
      <c r="N173" s="82">
        <v>1.2</v>
      </c>
      <c r="O173" s="82">
        <f t="shared" si="5"/>
        <v>46.975206611570236</v>
      </c>
    </row>
    <row r="174" spans="1:15" ht="15" customHeight="1" x14ac:dyDescent="0.25">
      <c r="A174" s="82" t="s">
        <v>545</v>
      </c>
      <c r="B174" s="82" t="s">
        <v>349</v>
      </c>
      <c r="C174" s="82" t="s">
        <v>317</v>
      </c>
      <c r="D174" s="82" t="s">
        <v>51</v>
      </c>
      <c r="E174" s="82" t="s">
        <v>381</v>
      </c>
      <c r="F174" s="82" t="s">
        <v>335</v>
      </c>
      <c r="G174" s="82">
        <v>7.4</v>
      </c>
      <c r="H174" s="82">
        <v>10</v>
      </c>
      <c r="I174" s="83">
        <f t="shared" si="4"/>
        <v>74</v>
      </c>
      <c r="J174" s="82">
        <v>103.1</v>
      </c>
      <c r="K174" s="84">
        <v>18558</v>
      </c>
      <c r="L174" s="82">
        <v>0</v>
      </c>
      <c r="M174" s="82" t="s">
        <v>309</v>
      </c>
      <c r="N174" s="82">
        <v>1.4</v>
      </c>
      <c r="O174" s="82">
        <f t="shared" si="5"/>
        <v>63.64</v>
      </c>
    </row>
    <row r="175" spans="1:15" ht="15" customHeight="1" x14ac:dyDescent="0.25">
      <c r="A175" s="82" t="s">
        <v>546</v>
      </c>
      <c r="B175" s="82" t="s">
        <v>369</v>
      </c>
      <c r="C175" s="82" t="s">
        <v>305</v>
      </c>
      <c r="D175" s="82" t="s">
        <v>306</v>
      </c>
      <c r="E175" s="82" t="s">
        <v>358</v>
      </c>
      <c r="F175" s="82" t="s">
        <v>331</v>
      </c>
      <c r="G175" s="82">
        <v>7.9</v>
      </c>
      <c r="H175" s="82">
        <v>10</v>
      </c>
      <c r="I175" s="83">
        <f t="shared" si="4"/>
        <v>79</v>
      </c>
      <c r="J175" s="82">
        <v>138.4</v>
      </c>
      <c r="K175" s="84">
        <v>24912</v>
      </c>
      <c r="L175" s="82">
        <v>0</v>
      </c>
      <c r="M175" s="82" t="s">
        <v>327</v>
      </c>
      <c r="N175" s="82">
        <v>1.6</v>
      </c>
      <c r="O175" s="82">
        <f t="shared" si="5"/>
        <v>66.36</v>
      </c>
    </row>
    <row r="176" spans="1:15" ht="15" customHeight="1" x14ac:dyDescent="0.25">
      <c r="A176" s="82" t="s">
        <v>547</v>
      </c>
      <c r="B176" s="82" t="s">
        <v>371</v>
      </c>
      <c r="C176" s="82" t="s">
        <v>317</v>
      </c>
      <c r="D176" s="82" t="s">
        <v>51</v>
      </c>
      <c r="E176" s="82" t="s">
        <v>372</v>
      </c>
      <c r="F176" s="82" t="s">
        <v>308</v>
      </c>
      <c r="G176" s="82">
        <v>8.1</v>
      </c>
      <c r="H176" s="82">
        <v>10</v>
      </c>
      <c r="I176" s="83">
        <f t="shared" si="4"/>
        <v>81</v>
      </c>
      <c r="J176" s="82">
        <v>123.2</v>
      </c>
      <c r="K176" s="84">
        <v>22176</v>
      </c>
      <c r="L176" s="82">
        <v>0</v>
      </c>
      <c r="M176" s="82" t="s">
        <v>343</v>
      </c>
      <c r="N176" s="82">
        <v>0.8</v>
      </c>
      <c r="O176" s="82">
        <f t="shared" si="5"/>
        <v>74.52000000000001</v>
      </c>
    </row>
    <row r="177" spans="1:15" ht="15" customHeight="1" x14ac:dyDescent="0.25">
      <c r="A177" s="82" t="s">
        <v>548</v>
      </c>
      <c r="B177" s="82" t="s">
        <v>360</v>
      </c>
      <c r="C177" s="82" t="s">
        <v>333</v>
      </c>
      <c r="D177" s="82" t="s">
        <v>86</v>
      </c>
      <c r="E177" s="82" t="s">
        <v>314</v>
      </c>
      <c r="F177" s="82" t="s">
        <v>364</v>
      </c>
      <c r="G177" s="82">
        <v>6.3</v>
      </c>
      <c r="H177" s="82">
        <v>8</v>
      </c>
      <c r="I177" s="83">
        <f t="shared" si="4"/>
        <v>78.75</v>
      </c>
      <c r="J177" s="82">
        <v>113.1</v>
      </c>
      <c r="K177" s="84">
        <v>20358</v>
      </c>
      <c r="L177" s="82">
        <v>0</v>
      </c>
      <c r="M177" s="82" t="s">
        <v>327</v>
      </c>
      <c r="N177" s="82">
        <v>2.1</v>
      </c>
      <c r="O177" s="82">
        <f t="shared" si="5"/>
        <v>58.078125</v>
      </c>
    </row>
    <row r="178" spans="1:15" ht="15" customHeight="1" x14ac:dyDescent="0.25">
      <c r="A178" s="82" t="s">
        <v>549</v>
      </c>
      <c r="B178" s="82" t="s">
        <v>304</v>
      </c>
      <c r="C178" s="82" t="s">
        <v>361</v>
      </c>
      <c r="D178" s="82" t="s">
        <v>119</v>
      </c>
      <c r="E178" s="82" t="s">
        <v>410</v>
      </c>
      <c r="F178" s="82" t="s">
        <v>367</v>
      </c>
      <c r="G178" s="82">
        <v>9.1</v>
      </c>
      <c r="H178" s="82">
        <v>10</v>
      </c>
      <c r="I178" s="83">
        <f t="shared" si="4"/>
        <v>90.999999999999986</v>
      </c>
      <c r="J178" s="82">
        <v>149.30000000000001</v>
      </c>
      <c r="K178" s="84">
        <v>26874</v>
      </c>
      <c r="L178" s="82">
        <v>1</v>
      </c>
      <c r="M178" s="82" t="s">
        <v>327</v>
      </c>
      <c r="N178" s="82">
        <v>1.5</v>
      </c>
      <c r="O178" s="82">
        <f t="shared" si="5"/>
        <v>77.34999999999998</v>
      </c>
    </row>
    <row r="179" spans="1:15" ht="15" customHeight="1" x14ac:dyDescent="0.25">
      <c r="A179" s="82" t="s">
        <v>550</v>
      </c>
      <c r="B179" s="82" t="s">
        <v>311</v>
      </c>
      <c r="C179" s="82" t="s">
        <v>305</v>
      </c>
      <c r="D179" s="82" t="s">
        <v>306</v>
      </c>
      <c r="E179" s="82" t="s">
        <v>345</v>
      </c>
      <c r="F179" s="82" t="s">
        <v>402</v>
      </c>
      <c r="G179" s="82">
        <v>7.9</v>
      </c>
      <c r="H179" s="82">
        <v>10</v>
      </c>
      <c r="I179" s="83">
        <f t="shared" si="4"/>
        <v>79</v>
      </c>
      <c r="J179" s="82">
        <v>80.8</v>
      </c>
      <c r="K179" s="84">
        <v>14544</v>
      </c>
      <c r="L179" s="82">
        <v>0</v>
      </c>
      <c r="M179" s="82" t="s">
        <v>309</v>
      </c>
      <c r="N179" s="82">
        <v>1.3</v>
      </c>
      <c r="O179" s="82">
        <f t="shared" si="5"/>
        <v>68.73</v>
      </c>
    </row>
    <row r="180" spans="1:15" ht="15" customHeight="1" x14ac:dyDescent="0.25">
      <c r="A180" s="82" t="s">
        <v>551</v>
      </c>
      <c r="B180" s="82" t="s">
        <v>369</v>
      </c>
      <c r="C180" s="82" t="s">
        <v>322</v>
      </c>
      <c r="D180" s="82" t="s">
        <v>62</v>
      </c>
      <c r="E180" s="82" t="s">
        <v>376</v>
      </c>
      <c r="F180" s="82" t="s">
        <v>439</v>
      </c>
      <c r="G180" s="82">
        <v>6.8</v>
      </c>
      <c r="H180" s="82">
        <v>10</v>
      </c>
      <c r="I180" s="83">
        <f t="shared" si="4"/>
        <v>68</v>
      </c>
      <c r="J180" s="82">
        <v>62.4</v>
      </c>
      <c r="K180" s="84">
        <v>11232</v>
      </c>
      <c r="L180" s="82">
        <v>0</v>
      </c>
      <c r="M180" s="82" t="s">
        <v>309</v>
      </c>
      <c r="N180" s="82">
        <v>1.7</v>
      </c>
      <c r="O180" s="82">
        <f t="shared" si="5"/>
        <v>56.440000000000005</v>
      </c>
    </row>
    <row r="181" spans="1:15" ht="15" customHeight="1" x14ac:dyDescent="0.25">
      <c r="A181" s="82" t="s">
        <v>552</v>
      </c>
      <c r="B181" s="82" t="s">
        <v>321</v>
      </c>
      <c r="C181" s="82" t="s">
        <v>312</v>
      </c>
      <c r="D181" s="82" t="s">
        <v>313</v>
      </c>
      <c r="E181" s="82" t="s">
        <v>325</v>
      </c>
      <c r="F181" s="82" t="s">
        <v>424</v>
      </c>
      <c r="G181" s="82">
        <v>5</v>
      </c>
      <c r="H181" s="82">
        <v>12</v>
      </c>
      <c r="I181" s="83">
        <f t="shared" si="4"/>
        <v>41.666666666666671</v>
      </c>
      <c r="J181" s="82">
        <v>74</v>
      </c>
      <c r="K181" s="84">
        <v>13320</v>
      </c>
      <c r="L181" s="82">
        <v>0</v>
      </c>
      <c r="M181" s="82" t="s">
        <v>327</v>
      </c>
      <c r="N181" s="82">
        <v>2.6</v>
      </c>
      <c r="O181" s="82">
        <f t="shared" si="5"/>
        <v>32.638888888888893</v>
      </c>
    </row>
    <row r="182" spans="1:15" ht="15" customHeight="1" x14ac:dyDescent="0.25">
      <c r="A182" s="82" t="s">
        <v>553</v>
      </c>
      <c r="B182" s="82" t="s">
        <v>311</v>
      </c>
      <c r="C182" s="82" t="s">
        <v>354</v>
      </c>
      <c r="D182" s="82" t="s">
        <v>96</v>
      </c>
      <c r="E182" s="82" t="s">
        <v>337</v>
      </c>
      <c r="F182" s="82" t="s">
        <v>396</v>
      </c>
      <c r="G182" s="82">
        <v>10.9</v>
      </c>
      <c r="H182" s="82">
        <v>11</v>
      </c>
      <c r="I182" s="83">
        <f t="shared" si="4"/>
        <v>99.090909090909093</v>
      </c>
      <c r="J182" s="82">
        <v>184.5</v>
      </c>
      <c r="K182" s="84">
        <v>33210</v>
      </c>
      <c r="L182" s="82">
        <v>2</v>
      </c>
      <c r="M182" s="82" t="s">
        <v>327</v>
      </c>
      <c r="N182" s="82">
        <v>5.3</v>
      </c>
      <c r="O182" s="82">
        <f t="shared" si="5"/>
        <v>51.347107438016529</v>
      </c>
    </row>
    <row r="183" spans="1:15" ht="15" customHeight="1" x14ac:dyDescent="0.25">
      <c r="A183" s="82" t="s">
        <v>554</v>
      </c>
      <c r="B183" s="82" t="s">
        <v>311</v>
      </c>
      <c r="C183" s="82" t="s">
        <v>312</v>
      </c>
      <c r="D183" s="82" t="s">
        <v>313</v>
      </c>
      <c r="E183" s="82" t="s">
        <v>325</v>
      </c>
      <c r="F183" s="82" t="s">
        <v>396</v>
      </c>
      <c r="G183" s="82">
        <v>5.6</v>
      </c>
      <c r="H183" s="82">
        <v>9</v>
      </c>
      <c r="I183" s="83">
        <f t="shared" si="4"/>
        <v>62.222222222222221</v>
      </c>
      <c r="J183" s="82">
        <v>48</v>
      </c>
      <c r="K183" s="84">
        <v>8640</v>
      </c>
      <c r="L183" s="82">
        <v>0</v>
      </c>
      <c r="M183" s="82" t="s">
        <v>327</v>
      </c>
      <c r="N183" s="82">
        <v>2.2999999999999998</v>
      </c>
      <c r="O183" s="82">
        <f t="shared" si="5"/>
        <v>46.320987654320987</v>
      </c>
    </row>
    <row r="184" spans="1:15" ht="15" customHeight="1" x14ac:dyDescent="0.25">
      <c r="A184" s="82" t="s">
        <v>555</v>
      </c>
      <c r="B184" s="82" t="s">
        <v>321</v>
      </c>
      <c r="C184" s="82" t="s">
        <v>354</v>
      </c>
      <c r="D184" s="82" t="s">
        <v>96</v>
      </c>
      <c r="E184" s="82" t="s">
        <v>325</v>
      </c>
      <c r="F184" s="82" t="s">
        <v>454</v>
      </c>
      <c r="G184" s="82">
        <v>7.1</v>
      </c>
      <c r="H184" s="82">
        <v>9</v>
      </c>
      <c r="I184" s="83">
        <f t="shared" si="4"/>
        <v>78.888888888888886</v>
      </c>
      <c r="J184" s="82">
        <v>101.8</v>
      </c>
      <c r="K184" s="84">
        <v>18324</v>
      </c>
      <c r="L184" s="82">
        <v>0</v>
      </c>
      <c r="M184" s="82" t="s">
        <v>343</v>
      </c>
      <c r="N184" s="82">
        <v>1.1000000000000001</v>
      </c>
      <c r="O184" s="82">
        <f t="shared" si="5"/>
        <v>69.246913580246911</v>
      </c>
    </row>
    <row r="185" spans="1:15" ht="15" customHeight="1" x14ac:dyDescent="0.25">
      <c r="A185" s="82" t="s">
        <v>556</v>
      </c>
      <c r="B185" s="82" t="s">
        <v>67</v>
      </c>
      <c r="C185" s="82" t="s">
        <v>340</v>
      </c>
      <c r="D185" s="82" t="s">
        <v>341</v>
      </c>
      <c r="E185" s="82" t="s">
        <v>337</v>
      </c>
      <c r="F185" s="82" t="s">
        <v>364</v>
      </c>
      <c r="G185" s="82">
        <v>9.6999999999999993</v>
      </c>
      <c r="H185" s="82">
        <v>10</v>
      </c>
      <c r="I185" s="83">
        <f t="shared" si="4"/>
        <v>97</v>
      </c>
      <c r="J185" s="82">
        <v>164.1</v>
      </c>
      <c r="K185" s="84">
        <v>29538</v>
      </c>
      <c r="L185" s="82">
        <v>0</v>
      </c>
      <c r="M185" s="82" t="s">
        <v>327</v>
      </c>
      <c r="N185" s="82">
        <v>0.1</v>
      </c>
      <c r="O185" s="82">
        <f t="shared" si="5"/>
        <v>96.03</v>
      </c>
    </row>
    <row r="186" spans="1:15" ht="15" customHeight="1" x14ac:dyDescent="0.25">
      <c r="A186" s="82" t="s">
        <v>557</v>
      </c>
      <c r="B186" s="82" t="s">
        <v>67</v>
      </c>
      <c r="C186" s="82" t="s">
        <v>363</v>
      </c>
      <c r="D186" s="82" t="s">
        <v>103</v>
      </c>
      <c r="E186" s="82" t="s">
        <v>408</v>
      </c>
      <c r="F186" s="82" t="s">
        <v>347</v>
      </c>
      <c r="G186" s="82">
        <v>5.9</v>
      </c>
      <c r="H186" s="82">
        <v>10</v>
      </c>
      <c r="I186" s="83">
        <f t="shared" si="4"/>
        <v>59.000000000000007</v>
      </c>
      <c r="J186" s="82">
        <v>53.3</v>
      </c>
      <c r="K186" s="84">
        <v>9594</v>
      </c>
      <c r="L186" s="82">
        <v>0</v>
      </c>
      <c r="M186" s="82" t="s">
        <v>327</v>
      </c>
      <c r="N186" s="82">
        <v>0.2</v>
      </c>
      <c r="O186" s="82">
        <f t="shared" si="5"/>
        <v>57.820000000000007</v>
      </c>
    </row>
    <row r="187" spans="1:15" ht="15" customHeight="1" x14ac:dyDescent="0.25">
      <c r="A187" s="82" t="s">
        <v>558</v>
      </c>
      <c r="B187" s="82" t="s">
        <v>67</v>
      </c>
      <c r="C187" s="82" t="s">
        <v>305</v>
      </c>
      <c r="D187" s="82" t="s">
        <v>306</v>
      </c>
      <c r="E187" s="82" t="s">
        <v>435</v>
      </c>
      <c r="F187" s="82" t="s">
        <v>382</v>
      </c>
      <c r="G187" s="82">
        <v>8.8000000000000007</v>
      </c>
      <c r="H187" s="82">
        <v>12</v>
      </c>
      <c r="I187" s="83">
        <f t="shared" si="4"/>
        <v>73.333333333333343</v>
      </c>
      <c r="J187" s="82">
        <v>100.1</v>
      </c>
      <c r="K187" s="84">
        <v>18018</v>
      </c>
      <c r="L187" s="82">
        <v>1</v>
      </c>
      <c r="M187" s="82" t="s">
        <v>343</v>
      </c>
      <c r="N187" s="82">
        <v>2.7</v>
      </c>
      <c r="O187" s="82">
        <f t="shared" si="5"/>
        <v>56.833333333333343</v>
      </c>
    </row>
    <row r="188" spans="1:15" ht="15" customHeight="1" x14ac:dyDescent="0.25">
      <c r="A188" s="82" t="s">
        <v>559</v>
      </c>
      <c r="B188" s="82" t="s">
        <v>386</v>
      </c>
      <c r="C188" s="82" t="s">
        <v>322</v>
      </c>
      <c r="D188" s="82" t="s">
        <v>62</v>
      </c>
      <c r="E188" s="82" t="s">
        <v>337</v>
      </c>
      <c r="F188" s="82" t="s">
        <v>402</v>
      </c>
      <c r="G188" s="82">
        <v>4.0999999999999996</v>
      </c>
      <c r="H188" s="82">
        <v>11</v>
      </c>
      <c r="I188" s="83">
        <f t="shared" si="4"/>
        <v>37.272727272727266</v>
      </c>
      <c r="J188" s="82">
        <v>42</v>
      </c>
      <c r="K188" s="84">
        <v>7560</v>
      </c>
      <c r="L188" s="82">
        <v>2</v>
      </c>
      <c r="M188" s="82" t="s">
        <v>327</v>
      </c>
      <c r="N188" s="82">
        <v>1.1000000000000001</v>
      </c>
      <c r="O188" s="82">
        <f t="shared" si="5"/>
        <v>33.54545454545454</v>
      </c>
    </row>
    <row r="189" spans="1:15" ht="15" customHeight="1" x14ac:dyDescent="0.25">
      <c r="A189" s="82" t="s">
        <v>560</v>
      </c>
      <c r="B189" s="82" t="s">
        <v>304</v>
      </c>
      <c r="C189" s="82" t="s">
        <v>354</v>
      </c>
      <c r="D189" s="82" t="s">
        <v>96</v>
      </c>
      <c r="E189" s="82" t="s">
        <v>355</v>
      </c>
      <c r="F189" s="82" t="s">
        <v>315</v>
      </c>
      <c r="G189" s="82">
        <v>5.5</v>
      </c>
      <c r="H189" s="82">
        <v>8</v>
      </c>
      <c r="I189" s="83">
        <f t="shared" si="4"/>
        <v>68.75</v>
      </c>
      <c r="J189" s="82">
        <v>79.2</v>
      </c>
      <c r="K189" s="84">
        <v>14256</v>
      </c>
      <c r="L189" s="82">
        <v>0</v>
      </c>
      <c r="M189" s="82" t="s">
        <v>309</v>
      </c>
      <c r="N189" s="82">
        <v>1.8</v>
      </c>
      <c r="O189" s="82">
        <f t="shared" si="5"/>
        <v>53.28125</v>
      </c>
    </row>
    <row r="190" spans="1:15" ht="15" customHeight="1" x14ac:dyDescent="0.25">
      <c r="A190" s="82" t="s">
        <v>561</v>
      </c>
      <c r="B190" s="82" t="s">
        <v>67</v>
      </c>
      <c r="C190" s="82" t="s">
        <v>312</v>
      </c>
      <c r="D190" s="82" t="s">
        <v>313</v>
      </c>
      <c r="E190" s="82" t="s">
        <v>423</v>
      </c>
      <c r="F190" s="82" t="s">
        <v>389</v>
      </c>
      <c r="G190" s="82">
        <v>5.7</v>
      </c>
      <c r="H190" s="82">
        <v>8</v>
      </c>
      <c r="I190" s="83">
        <f t="shared" si="4"/>
        <v>71.25</v>
      </c>
      <c r="J190" s="82">
        <v>67.3</v>
      </c>
      <c r="K190" s="84">
        <v>12114</v>
      </c>
      <c r="L190" s="82">
        <v>0</v>
      </c>
      <c r="M190" s="82" t="s">
        <v>327</v>
      </c>
      <c r="N190" s="82">
        <v>0.5</v>
      </c>
      <c r="O190" s="82">
        <f t="shared" si="5"/>
        <v>66.796875</v>
      </c>
    </row>
    <row r="191" spans="1:15" ht="15" customHeight="1" x14ac:dyDescent="0.25">
      <c r="A191" s="82" t="s">
        <v>562</v>
      </c>
      <c r="B191" s="82" t="s">
        <v>67</v>
      </c>
      <c r="C191" s="82" t="s">
        <v>305</v>
      </c>
      <c r="D191" s="82" t="s">
        <v>306</v>
      </c>
      <c r="E191" s="82" t="s">
        <v>379</v>
      </c>
      <c r="F191" s="82" t="s">
        <v>335</v>
      </c>
      <c r="G191" s="82">
        <v>6.6</v>
      </c>
      <c r="H191" s="82">
        <v>8</v>
      </c>
      <c r="I191" s="83">
        <f t="shared" si="4"/>
        <v>82.5</v>
      </c>
      <c r="J191" s="82">
        <v>70.599999999999994</v>
      </c>
      <c r="K191" s="84">
        <v>12708</v>
      </c>
      <c r="L191" s="82">
        <v>0</v>
      </c>
      <c r="M191" s="82" t="s">
        <v>327</v>
      </c>
      <c r="N191" s="82">
        <v>2.5</v>
      </c>
      <c r="O191" s="82">
        <f t="shared" si="5"/>
        <v>56.71875</v>
      </c>
    </row>
    <row r="192" spans="1:15" ht="15" customHeight="1" x14ac:dyDescent="0.25">
      <c r="A192" s="82" t="s">
        <v>563</v>
      </c>
      <c r="B192" s="82" t="s">
        <v>349</v>
      </c>
      <c r="C192" s="82" t="s">
        <v>340</v>
      </c>
      <c r="D192" s="82" t="s">
        <v>341</v>
      </c>
      <c r="E192" s="82" t="s">
        <v>372</v>
      </c>
      <c r="F192" s="82" t="s">
        <v>427</v>
      </c>
      <c r="G192" s="82">
        <v>4.7</v>
      </c>
      <c r="H192" s="82">
        <v>10</v>
      </c>
      <c r="I192" s="83">
        <f t="shared" si="4"/>
        <v>47</v>
      </c>
      <c r="J192" s="82">
        <v>42.6</v>
      </c>
      <c r="K192" s="84">
        <v>7668</v>
      </c>
      <c r="L192" s="82">
        <v>0</v>
      </c>
      <c r="M192" s="82" t="s">
        <v>327</v>
      </c>
      <c r="N192" s="82">
        <v>0.8</v>
      </c>
      <c r="O192" s="82">
        <f t="shared" si="5"/>
        <v>43.24</v>
      </c>
    </row>
    <row r="193" spans="1:15" ht="15" customHeight="1" x14ac:dyDescent="0.25">
      <c r="A193" s="82" t="s">
        <v>564</v>
      </c>
      <c r="B193" s="82" t="s">
        <v>304</v>
      </c>
      <c r="C193" s="82" t="s">
        <v>363</v>
      </c>
      <c r="D193" s="82" t="s">
        <v>103</v>
      </c>
      <c r="E193" s="82" t="s">
        <v>410</v>
      </c>
      <c r="F193" s="82" t="s">
        <v>347</v>
      </c>
      <c r="G193" s="82">
        <v>6.1</v>
      </c>
      <c r="H193" s="82">
        <v>11</v>
      </c>
      <c r="I193" s="83">
        <f t="shared" si="4"/>
        <v>55.454545454545453</v>
      </c>
      <c r="J193" s="82">
        <v>51.2</v>
      </c>
      <c r="K193" s="84">
        <v>9216</v>
      </c>
      <c r="L193" s="82">
        <v>0</v>
      </c>
      <c r="M193" s="82" t="s">
        <v>327</v>
      </c>
      <c r="N193" s="82">
        <v>2.8</v>
      </c>
      <c r="O193" s="82">
        <f t="shared" si="5"/>
        <v>41.33884297520661</v>
      </c>
    </row>
    <row r="194" spans="1:15" ht="15" customHeight="1" x14ac:dyDescent="0.25">
      <c r="A194" s="82" t="s">
        <v>565</v>
      </c>
      <c r="B194" s="82" t="s">
        <v>369</v>
      </c>
      <c r="C194" s="82" t="s">
        <v>363</v>
      </c>
      <c r="D194" s="82" t="s">
        <v>103</v>
      </c>
      <c r="E194" s="82" t="s">
        <v>423</v>
      </c>
      <c r="F194" s="82" t="s">
        <v>326</v>
      </c>
      <c r="G194" s="82">
        <v>7.6</v>
      </c>
      <c r="H194" s="82">
        <v>8</v>
      </c>
      <c r="I194" s="83">
        <f t="shared" ref="I194:I257" si="6">IF(H194&gt;0,G194/H194*100,0)</f>
        <v>95</v>
      </c>
      <c r="J194" s="82">
        <v>124.3</v>
      </c>
      <c r="K194" s="84">
        <v>22374</v>
      </c>
      <c r="L194" s="82">
        <v>0</v>
      </c>
      <c r="M194" s="82" t="s">
        <v>327</v>
      </c>
      <c r="N194" s="82">
        <v>0.3</v>
      </c>
      <c r="O194" s="82">
        <f t="shared" ref="O194:O257" si="7">IF(I194&gt;0,I194*(1-N194/H194),0)</f>
        <v>91.4375</v>
      </c>
    </row>
    <row r="195" spans="1:15" ht="15" customHeight="1" x14ac:dyDescent="0.25">
      <c r="A195" s="82" t="s">
        <v>566</v>
      </c>
      <c r="B195" s="82" t="s">
        <v>304</v>
      </c>
      <c r="C195" s="82" t="s">
        <v>312</v>
      </c>
      <c r="D195" s="82" t="s">
        <v>313</v>
      </c>
      <c r="E195" s="82" t="s">
        <v>355</v>
      </c>
      <c r="F195" s="82" t="s">
        <v>331</v>
      </c>
      <c r="G195" s="82">
        <v>6.3</v>
      </c>
      <c r="H195" s="82">
        <v>9</v>
      </c>
      <c r="I195" s="83">
        <f t="shared" si="6"/>
        <v>70</v>
      </c>
      <c r="J195" s="82">
        <v>112</v>
      </c>
      <c r="K195" s="84">
        <v>20160</v>
      </c>
      <c r="L195" s="82">
        <v>0</v>
      </c>
      <c r="M195" s="82" t="s">
        <v>327</v>
      </c>
      <c r="N195" s="82">
        <v>2.4</v>
      </c>
      <c r="O195" s="82">
        <f t="shared" si="7"/>
        <v>51.333333333333336</v>
      </c>
    </row>
    <row r="196" spans="1:15" ht="15" customHeight="1" x14ac:dyDescent="0.25">
      <c r="A196" s="82" t="s">
        <v>567</v>
      </c>
      <c r="B196" s="82" t="s">
        <v>67</v>
      </c>
      <c r="C196" s="82" t="s">
        <v>305</v>
      </c>
      <c r="D196" s="82" t="s">
        <v>306</v>
      </c>
      <c r="E196" s="82" t="s">
        <v>410</v>
      </c>
      <c r="F196" s="82" t="s">
        <v>335</v>
      </c>
      <c r="G196" s="82">
        <v>6.6</v>
      </c>
      <c r="H196" s="82">
        <v>10</v>
      </c>
      <c r="I196" s="83">
        <f t="shared" si="6"/>
        <v>65.999999999999986</v>
      </c>
      <c r="J196" s="82">
        <v>60.4</v>
      </c>
      <c r="K196" s="84">
        <v>10872</v>
      </c>
      <c r="L196" s="82">
        <v>0</v>
      </c>
      <c r="M196" s="82" t="s">
        <v>309</v>
      </c>
      <c r="N196" s="82">
        <v>0</v>
      </c>
      <c r="O196" s="82">
        <f t="shared" si="7"/>
        <v>65.999999999999986</v>
      </c>
    </row>
    <row r="197" spans="1:15" ht="15" customHeight="1" x14ac:dyDescent="0.25">
      <c r="A197" s="82" t="s">
        <v>568</v>
      </c>
      <c r="B197" s="82" t="s">
        <v>311</v>
      </c>
      <c r="C197" s="82" t="s">
        <v>354</v>
      </c>
      <c r="D197" s="82" t="s">
        <v>96</v>
      </c>
      <c r="E197" s="82" t="s">
        <v>358</v>
      </c>
      <c r="F197" s="82" t="s">
        <v>315</v>
      </c>
      <c r="G197" s="82">
        <v>10.7</v>
      </c>
      <c r="H197" s="82">
        <v>11</v>
      </c>
      <c r="I197" s="83">
        <f t="shared" si="6"/>
        <v>97.272727272727266</v>
      </c>
      <c r="J197" s="82">
        <v>114.3</v>
      </c>
      <c r="K197" s="84">
        <v>20574</v>
      </c>
      <c r="L197" s="82">
        <v>0</v>
      </c>
      <c r="M197" s="82" t="s">
        <v>327</v>
      </c>
      <c r="N197" s="82">
        <v>1</v>
      </c>
      <c r="O197" s="82">
        <f t="shared" si="7"/>
        <v>88.429752066115697</v>
      </c>
    </row>
    <row r="198" spans="1:15" ht="15" customHeight="1" x14ac:dyDescent="0.25">
      <c r="A198" s="82" t="s">
        <v>569</v>
      </c>
      <c r="B198" s="82" t="s">
        <v>349</v>
      </c>
      <c r="C198" s="82" t="s">
        <v>333</v>
      </c>
      <c r="D198" s="82" t="s">
        <v>86</v>
      </c>
      <c r="E198" s="82" t="s">
        <v>314</v>
      </c>
      <c r="F198" s="82" t="s">
        <v>382</v>
      </c>
      <c r="G198" s="82">
        <v>9</v>
      </c>
      <c r="H198" s="82">
        <v>10</v>
      </c>
      <c r="I198" s="83">
        <f t="shared" si="6"/>
        <v>90</v>
      </c>
      <c r="J198" s="82">
        <v>134.1</v>
      </c>
      <c r="K198" s="84">
        <v>24138</v>
      </c>
      <c r="L198" s="82">
        <v>0</v>
      </c>
      <c r="M198" s="82" t="s">
        <v>327</v>
      </c>
      <c r="N198" s="82">
        <v>2.7</v>
      </c>
      <c r="O198" s="82">
        <f t="shared" si="7"/>
        <v>65.7</v>
      </c>
    </row>
    <row r="199" spans="1:15" ht="15" customHeight="1" x14ac:dyDescent="0.25">
      <c r="A199" s="82" t="s">
        <v>570</v>
      </c>
      <c r="B199" s="82" t="s">
        <v>311</v>
      </c>
      <c r="C199" s="82" t="s">
        <v>312</v>
      </c>
      <c r="D199" s="82" t="s">
        <v>313</v>
      </c>
      <c r="E199" s="82" t="s">
        <v>334</v>
      </c>
      <c r="F199" s="82" t="s">
        <v>347</v>
      </c>
      <c r="G199" s="82">
        <v>7.9</v>
      </c>
      <c r="H199" s="82">
        <v>8</v>
      </c>
      <c r="I199" s="83">
        <f t="shared" si="6"/>
        <v>98.75</v>
      </c>
      <c r="J199" s="82">
        <v>129.9</v>
      </c>
      <c r="K199" s="84">
        <v>23382</v>
      </c>
      <c r="L199" s="82">
        <v>0</v>
      </c>
      <c r="M199" s="82" t="s">
        <v>399</v>
      </c>
      <c r="N199" s="82">
        <v>1.4</v>
      </c>
      <c r="O199" s="82">
        <f t="shared" si="7"/>
        <v>81.46875</v>
      </c>
    </row>
    <row r="200" spans="1:15" ht="15" customHeight="1" x14ac:dyDescent="0.25">
      <c r="A200" s="82" t="s">
        <v>571</v>
      </c>
      <c r="B200" s="82" t="s">
        <v>321</v>
      </c>
      <c r="C200" s="82" t="s">
        <v>361</v>
      </c>
      <c r="D200" s="82" t="s">
        <v>119</v>
      </c>
      <c r="E200" s="82" t="s">
        <v>323</v>
      </c>
      <c r="F200" s="82" t="s">
        <v>356</v>
      </c>
      <c r="G200" s="82">
        <v>9.5</v>
      </c>
      <c r="H200" s="82">
        <v>11</v>
      </c>
      <c r="I200" s="83">
        <f t="shared" si="6"/>
        <v>86.36363636363636</v>
      </c>
      <c r="J200" s="82">
        <v>134.1</v>
      </c>
      <c r="K200" s="84">
        <v>24138</v>
      </c>
      <c r="L200" s="82">
        <v>0</v>
      </c>
      <c r="M200" s="82" t="s">
        <v>309</v>
      </c>
      <c r="N200" s="82">
        <v>2.2000000000000002</v>
      </c>
      <c r="O200" s="82">
        <f t="shared" si="7"/>
        <v>69.090909090909093</v>
      </c>
    </row>
    <row r="201" spans="1:15" ht="15" customHeight="1" x14ac:dyDescent="0.25">
      <c r="A201" s="82" t="s">
        <v>572</v>
      </c>
      <c r="B201" s="82" t="s">
        <v>311</v>
      </c>
      <c r="C201" s="82" t="s">
        <v>361</v>
      </c>
      <c r="D201" s="82" t="s">
        <v>119</v>
      </c>
      <c r="E201" s="82" t="s">
        <v>325</v>
      </c>
      <c r="F201" s="82" t="s">
        <v>427</v>
      </c>
      <c r="G201" s="82">
        <v>7.1</v>
      </c>
      <c r="H201" s="82">
        <v>11</v>
      </c>
      <c r="I201" s="83">
        <f t="shared" si="6"/>
        <v>64.545454545454533</v>
      </c>
      <c r="J201" s="82">
        <v>61.3</v>
      </c>
      <c r="K201" s="84">
        <v>11034</v>
      </c>
      <c r="L201" s="82">
        <v>0</v>
      </c>
      <c r="M201" s="82" t="s">
        <v>327</v>
      </c>
      <c r="N201" s="82">
        <v>2.6</v>
      </c>
      <c r="O201" s="82">
        <f t="shared" si="7"/>
        <v>49.289256198347097</v>
      </c>
    </row>
    <row r="202" spans="1:15" ht="15" customHeight="1" x14ac:dyDescent="0.25">
      <c r="A202" s="82" t="s">
        <v>573</v>
      </c>
      <c r="B202" s="82" t="s">
        <v>304</v>
      </c>
      <c r="C202" s="82" t="s">
        <v>329</v>
      </c>
      <c r="D202" s="82" t="s">
        <v>330</v>
      </c>
      <c r="E202" s="82" t="s">
        <v>384</v>
      </c>
      <c r="F202" s="82" t="s">
        <v>374</v>
      </c>
      <c r="G202" s="82">
        <v>7.1</v>
      </c>
      <c r="H202" s="82">
        <v>10</v>
      </c>
      <c r="I202" s="83">
        <f t="shared" si="6"/>
        <v>71</v>
      </c>
      <c r="J202" s="82">
        <v>105.7</v>
      </c>
      <c r="K202" s="84">
        <v>19026</v>
      </c>
      <c r="L202" s="82">
        <v>0</v>
      </c>
      <c r="M202" s="82" t="s">
        <v>327</v>
      </c>
      <c r="N202" s="82">
        <v>2.2000000000000002</v>
      </c>
      <c r="O202" s="82">
        <f t="shared" si="7"/>
        <v>55.38</v>
      </c>
    </row>
    <row r="203" spans="1:15" ht="15" customHeight="1" x14ac:dyDescent="0.25">
      <c r="A203" s="82" t="s">
        <v>574</v>
      </c>
      <c r="B203" s="82" t="s">
        <v>386</v>
      </c>
      <c r="C203" s="82" t="s">
        <v>322</v>
      </c>
      <c r="D203" s="82" t="s">
        <v>62</v>
      </c>
      <c r="E203" s="82" t="s">
        <v>314</v>
      </c>
      <c r="F203" s="82" t="s">
        <v>319</v>
      </c>
      <c r="G203" s="82">
        <v>11.1</v>
      </c>
      <c r="H203" s="82">
        <v>12</v>
      </c>
      <c r="I203" s="83">
        <f t="shared" si="6"/>
        <v>92.5</v>
      </c>
      <c r="J203" s="82">
        <v>156.80000000000001</v>
      </c>
      <c r="K203" s="84">
        <v>28224</v>
      </c>
      <c r="L203" s="82">
        <v>0</v>
      </c>
      <c r="M203" s="82" t="s">
        <v>399</v>
      </c>
      <c r="N203" s="82">
        <v>1.5</v>
      </c>
      <c r="O203" s="82">
        <f t="shared" si="7"/>
        <v>80.9375</v>
      </c>
    </row>
    <row r="204" spans="1:15" ht="15" customHeight="1" x14ac:dyDescent="0.25">
      <c r="A204" s="82" t="s">
        <v>575</v>
      </c>
      <c r="B204" s="82" t="s">
        <v>386</v>
      </c>
      <c r="C204" s="82" t="s">
        <v>361</v>
      </c>
      <c r="D204" s="82" t="s">
        <v>119</v>
      </c>
      <c r="E204" s="82" t="s">
        <v>323</v>
      </c>
      <c r="F204" s="82" t="s">
        <v>454</v>
      </c>
      <c r="G204" s="82">
        <v>6.2</v>
      </c>
      <c r="H204" s="82">
        <v>11</v>
      </c>
      <c r="I204" s="83">
        <f t="shared" si="6"/>
        <v>56.36363636363636</v>
      </c>
      <c r="J204" s="82">
        <v>70.099999999999994</v>
      </c>
      <c r="K204" s="84">
        <v>12618</v>
      </c>
      <c r="L204" s="82">
        <v>0</v>
      </c>
      <c r="M204" s="82" t="s">
        <v>327</v>
      </c>
      <c r="N204" s="82">
        <v>1.7</v>
      </c>
      <c r="O204" s="82">
        <f t="shared" si="7"/>
        <v>47.652892561983471</v>
      </c>
    </row>
    <row r="205" spans="1:15" ht="15" customHeight="1" x14ac:dyDescent="0.25">
      <c r="A205" s="82" t="s">
        <v>576</v>
      </c>
      <c r="B205" s="82" t="s">
        <v>360</v>
      </c>
      <c r="C205" s="82" t="s">
        <v>333</v>
      </c>
      <c r="D205" s="82" t="s">
        <v>86</v>
      </c>
      <c r="E205" s="82" t="s">
        <v>408</v>
      </c>
      <c r="F205" s="82" t="s">
        <v>454</v>
      </c>
      <c r="G205" s="82">
        <v>7.1</v>
      </c>
      <c r="H205" s="82">
        <v>11</v>
      </c>
      <c r="I205" s="83">
        <f t="shared" si="6"/>
        <v>64.545454545454533</v>
      </c>
      <c r="J205" s="82">
        <v>97.5</v>
      </c>
      <c r="K205" s="84">
        <v>17550</v>
      </c>
      <c r="L205" s="82">
        <v>0</v>
      </c>
      <c r="M205" s="82" t="s">
        <v>327</v>
      </c>
      <c r="N205" s="82">
        <v>0.9</v>
      </c>
      <c r="O205" s="82">
        <f t="shared" si="7"/>
        <v>59.264462809917347</v>
      </c>
    </row>
    <row r="206" spans="1:15" ht="15" customHeight="1" x14ac:dyDescent="0.25">
      <c r="A206" s="82" t="s">
        <v>577</v>
      </c>
      <c r="B206" s="82" t="s">
        <v>386</v>
      </c>
      <c r="C206" s="82" t="s">
        <v>317</v>
      </c>
      <c r="D206" s="82" t="s">
        <v>51</v>
      </c>
      <c r="E206" s="82" t="s">
        <v>355</v>
      </c>
      <c r="F206" s="82" t="s">
        <v>308</v>
      </c>
      <c r="G206" s="82">
        <v>4.3</v>
      </c>
      <c r="H206" s="82">
        <v>11</v>
      </c>
      <c r="I206" s="83">
        <f t="shared" si="6"/>
        <v>39.090909090909086</v>
      </c>
      <c r="J206" s="82">
        <v>58</v>
      </c>
      <c r="K206" s="84">
        <v>10440</v>
      </c>
      <c r="L206" s="82">
        <v>0</v>
      </c>
      <c r="M206" s="82" t="s">
        <v>309</v>
      </c>
      <c r="N206" s="82">
        <v>2.9</v>
      </c>
      <c r="O206" s="82">
        <f t="shared" si="7"/>
        <v>28.785123966942145</v>
      </c>
    </row>
    <row r="207" spans="1:15" ht="15" customHeight="1" x14ac:dyDescent="0.25">
      <c r="A207" s="82" t="s">
        <v>578</v>
      </c>
      <c r="B207" s="82" t="s">
        <v>71</v>
      </c>
      <c r="C207" s="82" t="s">
        <v>340</v>
      </c>
      <c r="D207" s="82" t="s">
        <v>341</v>
      </c>
      <c r="E207" s="82" t="s">
        <v>345</v>
      </c>
      <c r="F207" s="82" t="s">
        <v>424</v>
      </c>
      <c r="G207" s="82">
        <v>10.7</v>
      </c>
      <c r="H207" s="82">
        <v>11</v>
      </c>
      <c r="I207" s="83">
        <f t="shared" si="6"/>
        <v>97.272727272727266</v>
      </c>
      <c r="J207" s="82">
        <v>124.5</v>
      </c>
      <c r="K207" s="84">
        <v>22410</v>
      </c>
      <c r="L207" s="82">
        <v>0</v>
      </c>
      <c r="M207" s="82" t="s">
        <v>327</v>
      </c>
      <c r="N207" s="82">
        <v>1.4</v>
      </c>
      <c r="O207" s="82">
        <f t="shared" si="7"/>
        <v>84.892561983471069</v>
      </c>
    </row>
    <row r="208" spans="1:15" ht="15" customHeight="1" x14ac:dyDescent="0.25">
      <c r="A208" s="82" t="s">
        <v>579</v>
      </c>
      <c r="B208" s="82" t="s">
        <v>304</v>
      </c>
      <c r="C208" s="82" t="s">
        <v>329</v>
      </c>
      <c r="D208" s="82" t="s">
        <v>330</v>
      </c>
      <c r="E208" s="82" t="s">
        <v>372</v>
      </c>
      <c r="F208" s="82" t="s">
        <v>406</v>
      </c>
      <c r="G208" s="82">
        <v>8.3000000000000007</v>
      </c>
      <c r="H208" s="82">
        <v>10</v>
      </c>
      <c r="I208" s="83">
        <f t="shared" si="6"/>
        <v>83</v>
      </c>
      <c r="J208" s="82">
        <v>75.900000000000006</v>
      </c>
      <c r="K208" s="84">
        <v>13662</v>
      </c>
      <c r="L208" s="82">
        <v>0</v>
      </c>
      <c r="M208" s="82" t="s">
        <v>327</v>
      </c>
      <c r="N208" s="82">
        <v>1</v>
      </c>
      <c r="O208" s="82">
        <f t="shared" si="7"/>
        <v>74.7</v>
      </c>
    </row>
    <row r="209" spans="1:15" ht="15" customHeight="1" x14ac:dyDescent="0.25">
      <c r="A209" s="82" t="s">
        <v>580</v>
      </c>
      <c r="B209" s="82" t="s">
        <v>71</v>
      </c>
      <c r="C209" s="82" t="s">
        <v>340</v>
      </c>
      <c r="D209" s="82" t="s">
        <v>341</v>
      </c>
      <c r="E209" s="82" t="s">
        <v>381</v>
      </c>
      <c r="F209" s="82" t="s">
        <v>315</v>
      </c>
      <c r="G209" s="82">
        <v>4.2</v>
      </c>
      <c r="H209" s="82">
        <v>8</v>
      </c>
      <c r="I209" s="83">
        <f t="shared" si="6"/>
        <v>52.5</v>
      </c>
      <c r="J209" s="82">
        <v>40.5</v>
      </c>
      <c r="K209" s="84">
        <v>7290</v>
      </c>
      <c r="L209" s="82">
        <v>0</v>
      </c>
      <c r="M209" s="82" t="s">
        <v>309</v>
      </c>
      <c r="N209" s="82">
        <v>2.2000000000000002</v>
      </c>
      <c r="O209" s="82">
        <f t="shared" si="7"/>
        <v>38.0625</v>
      </c>
    </row>
    <row r="210" spans="1:15" ht="15" customHeight="1" x14ac:dyDescent="0.25">
      <c r="A210" s="82" t="s">
        <v>581</v>
      </c>
      <c r="B210" s="82" t="s">
        <v>349</v>
      </c>
      <c r="C210" s="82" t="s">
        <v>305</v>
      </c>
      <c r="D210" s="82" t="s">
        <v>306</v>
      </c>
      <c r="E210" s="82" t="s">
        <v>372</v>
      </c>
      <c r="F210" s="82" t="s">
        <v>424</v>
      </c>
      <c r="G210" s="82">
        <v>4.5999999999999996</v>
      </c>
      <c r="H210" s="82">
        <v>9</v>
      </c>
      <c r="I210" s="83">
        <f t="shared" si="6"/>
        <v>51.111111111111107</v>
      </c>
      <c r="J210" s="82">
        <v>76</v>
      </c>
      <c r="K210" s="84">
        <v>13680</v>
      </c>
      <c r="L210" s="82">
        <v>0</v>
      </c>
      <c r="M210" s="82" t="s">
        <v>309</v>
      </c>
      <c r="N210" s="82">
        <v>0.6</v>
      </c>
      <c r="O210" s="82">
        <f t="shared" si="7"/>
        <v>47.703703703703702</v>
      </c>
    </row>
    <row r="211" spans="1:15" ht="15" customHeight="1" x14ac:dyDescent="0.25">
      <c r="A211" s="82" t="s">
        <v>582</v>
      </c>
      <c r="B211" s="82" t="s">
        <v>369</v>
      </c>
      <c r="C211" s="82" t="s">
        <v>312</v>
      </c>
      <c r="D211" s="82" t="s">
        <v>313</v>
      </c>
      <c r="E211" s="82" t="s">
        <v>379</v>
      </c>
      <c r="F211" s="82" t="s">
        <v>389</v>
      </c>
      <c r="G211" s="82">
        <v>5</v>
      </c>
      <c r="H211" s="82">
        <v>12</v>
      </c>
      <c r="I211" s="83">
        <f t="shared" si="6"/>
        <v>41.666666666666671</v>
      </c>
      <c r="J211" s="82">
        <v>84.6</v>
      </c>
      <c r="K211" s="84">
        <v>15228</v>
      </c>
      <c r="L211" s="82">
        <v>0</v>
      </c>
      <c r="M211" s="82" t="s">
        <v>327</v>
      </c>
      <c r="N211" s="82">
        <v>1.5</v>
      </c>
      <c r="O211" s="82">
        <f t="shared" si="7"/>
        <v>36.458333333333336</v>
      </c>
    </row>
    <row r="212" spans="1:15" ht="15" customHeight="1" x14ac:dyDescent="0.25">
      <c r="A212" s="82" t="s">
        <v>583</v>
      </c>
      <c r="B212" s="82" t="s">
        <v>386</v>
      </c>
      <c r="C212" s="82" t="s">
        <v>317</v>
      </c>
      <c r="D212" s="82" t="s">
        <v>51</v>
      </c>
      <c r="E212" s="82" t="s">
        <v>381</v>
      </c>
      <c r="F212" s="82" t="s">
        <v>364</v>
      </c>
      <c r="G212" s="82">
        <v>6.2</v>
      </c>
      <c r="H212" s="82">
        <v>8</v>
      </c>
      <c r="I212" s="83">
        <f t="shared" si="6"/>
        <v>77.5</v>
      </c>
      <c r="J212" s="82">
        <v>76.400000000000006</v>
      </c>
      <c r="K212" s="84">
        <v>13752</v>
      </c>
      <c r="L212" s="82">
        <v>0</v>
      </c>
      <c r="M212" s="82" t="s">
        <v>399</v>
      </c>
      <c r="N212" s="82">
        <v>2.2999999999999998</v>
      </c>
      <c r="O212" s="82">
        <f t="shared" si="7"/>
        <v>55.21875</v>
      </c>
    </row>
    <row r="213" spans="1:15" ht="15" customHeight="1" x14ac:dyDescent="0.25">
      <c r="A213" s="82" t="s">
        <v>584</v>
      </c>
      <c r="B213" s="82" t="s">
        <v>311</v>
      </c>
      <c r="C213" s="82" t="s">
        <v>329</v>
      </c>
      <c r="D213" s="82" t="s">
        <v>330</v>
      </c>
      <c r="E213" s="82" t="s">
        <v>323</v>
      </c>
      <c r="F213" s="82" t="s">
        <v>364</v>
      </c>
      <c r="G213" s="82">
        <v>4.5</v>
      </c>
      <c r="H213" s="82">
        <v>9</v>
      </c>
      <c r="I213" s="83">
        <f t="shared" si="6"/>
        <v>50</v>
      </c>
      <c r="J213" s="82">
        <v>65.599999999999994</v>
      </c>
      <c r="K213" s="84">
        <v>11808</v>
      </c>
      <c r="L213" s="82">
        <v>0</v>
      </c>
      <c r="M213" s="82" t="s">
        <v>327</v>
      </c>
      <c r="N213" s="82">
        <v>2.6</v>
      </c>
      <c r="O213" s="82">
        <f t="shared" si="7"/>
        <v>35.55555555555555</v>
      </c>
    </row>
    <row r="214" spans="1:15" ht="15" customHeight="1" x14ac:dyDescent="0.25">
      <c r="A214" s="82" t="s">
        <v>585</v>
      </c>
      <c r="B214" s="82" t="s">
        <v>360</v>
      </c>
      <c r="C214" s="82" t="s">
        <v>329</v>
      </c>
      <c r="D214" s="82" t="s">
        <v>330</v>
      </c>
      <c r="E214" s="82" t="s">
        <v>408</v>
      </c>
      <c r="F214" s="82" t="s">
        <v>331</v>
      </c>
      <c r="G214" s="82">
        <v>10.7</v>
      </c>
      <c r="H214" s="82">
        <v>11</v>
      </c>
      <c r="I214" s="83">
        <f t="shared" si="6"/>
        <v>97.272727272727266</v>
      </c>
      <c r="J214" s="82">
        <v>189.4</v>
      </c>
      <c r="K214" s="84">
        <v>34092</v>
      </c>
      <c r="L214" s="82">
        <v>0</v>
      </c>
      <c r="M214" s="82" t="s">
        <v>327</v>
      </c>
      <c r="N214" s="82">
        <v>1.2</v>
      </c>
      <c r="O214" s="82">
        <f t="shared" si="7"/>
        <v>86.661157024793383</v>
      </c>
    </row>
    <row r="215" spans="1:15" ht="15" customHeight="1" x14ac:dyDescent="0.25">
      <c r="A215" s="82" t="s">
        <v>586</v>
      </c>
      <c r="B215" s="82" t="s">
        <v>304</v>
      </c>
      <c r="C215" s="82" t="s">
        <v>305</v>
      </c>
      <c r="D215" s="82" t="s">
        <v>306</v>
      </c>
      <c r="E215" s="82" t="s">
        <v>345</v>
      </c>
      <c r="F215" s="82" t="s">
        <v>396</v>
      </c>
      <c r="G215" s="82">
        <v>9.1</v>
      </c>
      <c r="H215" s="82">
        <v>12</v>
      </c>
      <c r="I215" s="83">
        <f t="shared" si="6"/>
        <v>75.833333333333329</v>
      </c>
      <c r="J215" s="82">
        <v>91.1</v>
      </c>
      <c r="K215" s="84">
        <v>16398</v>
      </c>
      <c r="L215" s="82">
        <v>0</v>
      </c>
      <c r="M215" s="82" t="s">
        <v>327</v>
      </c>
      <c r="N215" s="82">
        <v>1</v>
      </c>
      <c r="O215" s="82">
        <f t="shared" si="7"/>
        <v>69.513888888888886</v>
      </c>
    </row>
    <row r="216" spans="1:15" ht="15" customHeight="1" x14ac:dyDescent="0.25">
      <c r="A216" s="82" t="s">
        <v>587</v>
      </c>
      <c r="B216" s="82" t="s">
        <v>311</v>
      </c>
      <c r="C216" s="82" t="s">
        <v>354</v>
      </c>
      <c r="D216" s="82" t="s">
        <v>96</v>
      </c>
      <c r="E216" s="82" t="s">
        <v>381</v>
      </c>
      <c r="F216" s="82" t="s">
        <v>342</v>
      </c>
      <c r="G216" s="82">
        <v>8.3000000000000007</v>
      </c>
      <c r="H216" s="82">
        <v>10</v>
      </c>
      <c r="I216" s="83">
        <f t="shared" si="6"/>
        <v>83</v>
      </c>
      <c r="J216" s="82">
        <v>129.5</v>
      </c>
      <c r="K216" s="84">
        <v>23310</v>
      </c>
      <c r="L216" s="82">
        <v>0</v>
      </c>
      <c r="M216" s="82" t="s">
        <v>327</v>
      </c>
      <c r="N216" s="82">
        <v>2.8</v>
      </c>
      <c r="O216" s="82">
        <f t="shared" si="7"/>
        <v>59.76</v>
      </c>
    </row>
    <row r="217" spans="1:15" ht="15" customHeight="1" x14ac:dyDescent="0.25">
      <c r="A217" s="82" t="s">
        <v>588</v>
      </c>
      <c r="B217" s="82" t="s">
        <v>360</v>
      </c>
      <c r="C217" s="82" t="s">
        <v>340</v>
      </c>
      <c r="D217" s="82" t="s">
        <v>341</v>
      </c>
      <c r="E217" s="82" t="s">
        <v>435</v>
      </c>
      <c r="F217" s="82" t="s">
        <v>338</v>
      </c>
      <c r="G217" s="82">
        <v>6.1</v>
      </c>
      <c r="H217" s="82">
        <v>8</v>
      </c>
      <c r="I217" s="83">
        <f t="shared" si="6"/>
        <v>76.25</v>
      </c>
      <c r="J217" s="82">
        <v>50.3</v>
      </c>
      <c r="K217" s="84">
        <v>9054</v>
      </c>
      <c r="L217" s="82">
        <v>0</v>
      </c>
      <c r="M217" s="82" t="s">
        <v>309</v>
      </c>
      <c r="N217" s="82">
        <v>0.6</v>
      </c>
      <c r="O217" s="82">
        <f t="shared" si="7"/>
        <v>70.53125</v>
      </c>
    </row>
    <row r="218" spans="1:15" ht="15" customHeight="1" x14ac:dyDescent="0.25">
      <c r="A218" s="82" t="s">
        <v>589</v>
      </c>
      <c r="B218" s="82" t="s">
        <v>311</v>
      </c>
      <c r="C218" s="82" t="s">
        <v>305</v>
      </c>
      <c r="D218" s="82" t="s">
        <v>306</v>
      </c>
      <c r="E218" s="82" t="s">
        <v>376</v>
      </c>
      <c r="F218" s="82" t="s">
        <v>319</v>
      </c>
      <c r="G218" s="82">
        <v>6.8</v>
      </c>
      <c r="H218" s="82">
        <v>8</v>
      </c>
      <c r="I218" s="83">
        <f t="shared" si="6"/>
        <v>85</v>
      </c>
      <c r="J218" s="82">
        <v>74.5</v>
      </c>
      <c r="K218" s="84">
        <v>13410</v>
      </c>
      <c r="L218" s="82">
        <v>0</v>
      </c>
      <c r="M218" s="82" t="s">
        <v>327</v>
      </c>
      <c r="N218" s="82">
        <v>2.4</v>
      </c>
      <c r="O218" s="82">
        <f t="shared" si="7"/>
        <v>59.499999999999993</v>
      </c>
    </row>
    <row r="219" spans="1:15" ht="15" customHeight="1" x14ac:dyDescent="0.25">
      <c r="A219" s="82" t="s">
        <v>590</v>
      </c>
      <c r="B219" s="82" t="s">
        <v>349</v>
      </c>
      <c r="C219" s="82" t="s">
        <v>329</v>
      </c>
      <c r="D219" s="82" t="s">
        <v>330</v>
      </c>
      <c r="E219" s="82" t="s">
        <v>345</v>
      </c>
      <c r="F219" s="82" t="s">
        <v>374</v>
      </c>
      <c r="G219" s="82">
        <v>7.1</v>
      </c>
      <c r="H219" s="82">
        <v>12</v>
      </c>
      <c r="I219" s="83">
        <f t="shared" si="6"/>
        <v>59.166666666666664</v>
      </c>
      <c r="J219" s="82">
        <v>93.1</v>
      </c>
      <c r="K219" s="84">
        <v>16758</v>
      </c>
      <c r="L219" s="82">
        <v>0</v>
      </c>
      <c r="M219" s="82" t="s">
        <v>309</v>
      </c>
      <c r="N219" s="82">
        <v>2.1</v>
      </c>
      <c r="O219" s="82">
        <f t="shared" si="7"/>
        <v>48.812499999999993</v>
      </c>
    </row>
    <row r="220" spans="1:15" ht="15" customHeight="1" x14ac:dyDescent="0.25">
      <c r="A220" s="82" t="s">
        <v>591</v>
      </c>
      <c r="B220" s="82" t="s">
        <v>67</v>
      </c>
      <c r="C220" s="82" t="s">
        <v>333</v>
      </c>
      <c r="D220" s="82" t="s">
        <v>86</v>
      </c>
      <c r="E220" s="82" t="s">
        <v>314</v>
      </c>
      <c r="F220" s="82" t="s">
        <v>338</v>
      </c>
      <c r="G220" s="82">
        <v>9.8000000000000007</v>
      </c>
      <c r="H220" s="82">
        <v>10</v>
      </c>
      <c r="I220" s="83">
        <f t="shared" si="6"/>
        <v>98.000000000000014</v>
      </c>
      <c r="J220" s="82">
        <v>83.7</v>
      </c>
      <c r="K220" s="84">
        <v>15066</v>
      </c>
      <c r="L220" s="82">
        <v>0</v>
      </c>
      <c r="M220" s="82" t="s">
        <v>327</v>
      </c>
      <c r="N220" s="82">
        <v>2.6</v>
      </c>
      <c r="O220" s="82">
        <f t="shared" si="7"/>
        <v>72.52000000000001</v>
      </c>
    </row>
    <row r="221" spans="1:15" ht="15" customHeight="1" x14ac:dyDescent="0.25">
      <c r="A221" s="82" t="s">
        <v>592</v>
      </c>
      <c r="B221" s="82" t="s">
        <v>386</v>
      </c>
      <c r="C221" s="82" t="s">
        <v>363</v>
      </c>
      <c r="D221" s="82" t="s">
        <v>103</v>
      </c>
      <c r="E221" s="82" t="s">
        <v>410</v>
      </c>
      <c r="F221" s="82" t="s">
        <v>439</v>
      </c>
      <c r="G221" s="82">
        <v>9.9</v>
      </c>
      <c r="H221" s="82">
        <v>12</v>
      </c>
      <c r="I221" s="83">
        <f t="shared" si="6"/>
        <v>82.5</v>
      </c>
      <c r="J221" s="82">
        <v>98.7</v>
      </c>
      <c r="K221" s="84">
        <v>17766</v>
      </c>
      <c r="L221" s="82">
        <v>0</v>
      </c>
      <c r="M221" s="82" t="s">
        <v>327</v>
      </c>
      <c r="N221" s="82">
        <v>1.3</v>
      </c>
      <c r="O221" s="82">
        <f t="shared" si="7"/>
        <v>73.5625</v>
      </c>
    </row>
    <row r="222" spans="1:15" ht="15" customHeight="1" x14ac:dyDescent="0.25">
      <c r="A222" s="82" t="s">
        <v>593</v>
      </c>
      <c r="B222" s="82" t="s">
        <v>349</v>
      </c>
      <c r="C222" s="82" t="s">
        <v>354</v>
      </c>
      <c r="D222" s="82" t="s">
        <v>96</v>
      </c>
      <c r="E222" s="82" t="s">
        <v>323</v>
      </c>
      <c r="F222" s="82" t="s">
        <v>364</v>
      </c>
      <c r="G222" s="82">
        <v>5</v>
      </c>
      <c r="H222" s="82">
        <v>12</v>
      </c>
      <c r="I222" s="83">
        <f t="shared" si="6"/>
        <v>41.666666666666671</v>
      </c>
      <c r="J222" s="82">
        <v>42</v>
      </c>
      <c r="K222" s="84">
        <v>7560</v>
      </c>
      <c r="L222" s="82">
        <v>0</v>
      </c>
      <c r="M222" s="82" t="s">
        <v>327</v>
      </c>
      <c r="N222" s="82">
        <v>0.5</v>
      </c>
      <c r="O222" s="82">
        <f t="shared" si="7"/>
        <v>39.930555555555564</v>
      </c>
    </row>
    <row r="223" spans="1:15" ht="15" customHeight="1" x14ac:dyDescent="0.25">
      <c r="A223" s="82" t="s">
        <v>594</v>
      </c>
      <c r="B223" s="82" t="s">
        <v>71</v>
      </c>
      <c r="C223" s="82" t="s">
        <v>317</v>
      </c>
      <c r="D223" s="82" t="s">
        <v>51</v>
      </c>
      <c r="E223" s="82" t="s">
        <v>358</v>
      </c>
      <c r="F223" s="82" t="s">
        <v>382</v>
      </c>
      <c r="G223" s="82">
        <v>4.2</v>
      </c>
      <c r="H223" s="82">
        <v>9</v>
      </c>
      <c r="I223" s="83">
        <f t="shared" si="6"/>
        <v>46.666666666666664</v>
      </c>
      <c r="J223" s="82">
        <v>72.599999999999994</v>
      </c>
      <c r="K223" s="84">
        <v>13068</v>
      </c>
      <c r="L223" s="82">
        <v>0</v>
      </c>
      <c r="M223" s="82" t="s">
        <v>309</v>
      </c>
      <c r="N223" s="82">
        <v>1.9</v>
      </c>
      <c r="O223" s="82">
        <f t="shared" si="7"/>
        <v>36.81481481481481</v>
      </c>
    </row>
    <row r="224" spans="1:15" ht="15" customHeight="1" x14ac:dyDescent="0.25">
      <c r="A224" s="82" t="s">
        <v>595</v>
      </c>
      <c r="B224" s="82" t="s">
        <v>71</v>
      </c>
      <c r="C224" s="82" t="s">
        <v>361</v>
      </c>
      <c r="D224" s="82" t="s">
        <v>119</v>
      </c>
      <c r="E224" s="82" t="s">
        <v>384</v>
      </c>
      <c r="F224" s="82" t="s">
        <v>342</v>
      </c>
      <c r="G224" s="82">
        <v>4.4000000000000004</v>
      </c>
      <c r="H224" s="82">
        <v>10</v>
      </c>
      <c r="I224" s="83">
        <f t="shared" si="6"/>
        <v>44.000000000000007</v>
      </c>
      <c r="J224" s="82">
        <v>66.3</v>
      </c>
      <c r="K224" s="84">
        <v>11934</v>
      </c>
      <c r="L224" s="82">
        <v>0</v>
      </c>
      <c r="M224" s="82" t="s">
        <v>343</v>
      </c>
      <c r="N224" s="82">
        <v>1.6</v>
      </c>
      <c r="O224" s="82">
        <f t="shared" si="7"/>
        <v>36.960000000000008</v>
      </c>
    </row>
    <row r="225" spans="1:15" ht="15" customHeight="1" x14ac:dyDescent="0.25">
      <c r="A225" s="82" t="s">
        <v>596</v>
      </c>
      <c r="B225" s="82" t="s">
        <v>304</v>
      </c>
      <c r="C225" s="82" t="s">
        <v>354</v>
      </c>
      <c r="D225" s="82" t="s">
        <v>96</v>
      </c>
      <c r="E225" s="82" t="s">
        <v>379</v>
      </c>
      <c r="F225" s="82" t="s">
        <v>342</v>
      </c>
      <c r="G225" s="82">
        <v>7.2</v>
      </c>
      <c r="H225" s="82">
        <v>12</v>
      </c>
      <c r="I225" s="83">
        <f t="shared" si="6"/>
        <v>60</v>
      </c>
      <c r="J225" s="82">
        <v>82.8</v>
      </c>
      <c r="K225" s="84">
        <v>14904</v>
      </c>
      <c r="L225" s="82">
        <v>1</v>
      </c>
      <c r="M225" s="82" t="s">
        <v>309</v>
      </c>
      <c r="N225" s="82">
        <v>2.7</v>
      </c>
      <c r="O225" s="82">
        <f t="shared" si="7"/>
        <v>46.5</v>
      </c>
    </row>
    <row r="226" spans="1:15" ht="15" customHeight="1" x14ac:dyDescent="0.25">
      <c r="A226" s="82" t="s">
        <v>597</v>
      </c>
      <c r="B226" s="82" t="s">
        <v>71</v>
      </c>
      <c r="C226" s="82" t="s">
        <v>363</v>
      </c>
      <c r="D226" s="82" t="s">
        <v>103</v>
      </c>
      <c r="E226" s="82" t="s">
        <v>372</v>
      </c>
      <c r="F226" s="82" t="s">
        <v>367</v>
      </c>
      <c r="G226" s="82">
        <v>11</v>
      </c>
      <c r="H226" s="82">
        <v>11</v>
      </c>
      <c r="I226" s="83">
        <f t="shared" si="6"/>
        <v>100</v>
      </c>
      <c r="J226" s="82">
        <v>178.6</v>
      </c>
      <c r="K226" s="84">
        <v>32148</v>
      </c>
      <c r="L226" s="82">
        <v>2</v>
      </c>
      <c r="M226" s="82" t="s">
        <v>327</v>
      </c>
      <c r="N226" s="82">
        <v>4.3</v>
      </c>
      <c r="O226" s="82">
        <f t="shared" si="7"/>
        <v>60.909090909090914</v>
      </c>
    </row>
    <row r="227" spans="1:15" ht="15" customHeight="1" x14ac:dyDescent="0.25">
      <c r="A227" s="82" t="s">
        <v>598</v>
      </c>
      <c r="B227" s="82" t="s">
        <v>386</v>
      </c>
      <c r="C227" s="82" t="s">
        <v>363</v>
      </c>
      <c r="D227" s="82" t="s">
        <v>103</v>
      </c>
      <c r="E227" s="82" t="s">
        <v>372</v>
      </c>
      <c r="F227" s="82" t="s">
        <v>356</v>
      </c>
      <c r="G227" s="82">
        <v>8.8000000000000007</v>
      </c>
      <c r="H227" s="82">
        <v>9</v>
      </c>
      <c r="I227" s="83">
        <f t="shared" si="6"/>
        <v>97.777777777777786</v>
      </c>
      <c r="J227" s="82">
        <v>130.5</v>
      </c>
      <c r="K227" s="84">
        <v>23490</v>
      </c>
      <c r="L227" s="82">
        <v>0</v>
      </c>
      <c r="M227" s="82" t="s">
        <v>399</v>
      </c>
      <c r="N227" s="82">
        <v>2.8</v>
      </c>
      <c r="O227" s="82">
        <f t="shared" si="7"/>
        <v>67.358024691358025</v>
      </c>
    </row>
    <row r="228" spans="1:15" ht="15" customHeight="1" x14ac:dyDescent="0.25">
      <c r="A228" s="82" t="s">
        <v>599</v>
      </c>
      <c r="B228" s="82" t="s">
        <v>360</v>
      </c>
      <c r="C228" s="82" t="s">
        <v>305</v>
      </c>
      <c r="D228" s="82" t="s">
        <v>306</v>
      </c>
      <c r="E228" s="82" t="s">
        <v>345</v>
      </c>
      <c r="F228" s="82" t="s">
        <v>364</v>
      </c>
      <c r="G228" s="82">
        <v>4.0999999999999996</v>
      </c>
      <c r="H228" s="82">
        <v>10</v>
      </c>
      <c r="I228" s="83">
        <f t="shared" si="6"/>
        <v>41</v>
      </c>
      <c r="J228" s="82">
        <v>54</v>
      </c>
      <c r="K228" s="84">
        <v>9720</v>
      </c>
      <c r="L228" s="82">
        <v>0</v>
      </c>
      <c r="M228" s="82" t="s">
        <v>327</v>
      </c>
      <c r="N228" s="82">
        <v>1.5</v>
      </c>
      <c r="O228" s="82">
        <f t="shared" si="7"/>
        <v>34.85</v>
      </c>
    </row>
    <row r="229" spans="1:15" ht="15" customHeight="1" x14ac:dyDescent="0.25">
      <c r="A229" s="82" t="s">
        <v>600</v>
      </c>
      <c r="B229" s="82" t="s">
        <v>386</v>
      </c>
      <c r="C229" s="82" t="s">
        <v>317</v>
      </c>
      <c r="D229" s="82" t="s">
        <v>51</v>
      </c>
      <c r="E229" s="82" t="s">
        <v>435</v>
      </c>
      <c r="F229" s="82" t="s">
        <v>352</v>
      </c>
      <c r="G229" s="82">
        <v>5.6</v>
      </c>
      <c r="H229" s="82">
        <v>9</v>
      </c>
      <c r="I229" s="83">
        <f t="shared" si="6"/>
        <v>62.222222222222221</v>
      </c>
      <c r="J229" s="82">
        <v>49.4</v>
      </c>
      <c r="K229" s="84">
        <v>8892</v>
      </c>
      <c r="L229" s="82">
        <v>0</v>
      </c>
      <c r="M229" s="82" t="s">
        <v>343</v>
      </c>
      <c r="N229" s="82">
        <v>2.2999999999999998</v>
      </c>
      <c r="O229" s="82">
        <f t="shared" si="7"/>
        <v>46.320987654320987</v>
      </c>
    </row>
    <row r="230" spans="1:15" ht="15" customHeight="1" x14ac:dyDescent="0.25">
      <c r="A230" s="82" t="s">
        <v>601</v>
      </c>
      <c r="B230" s="82" t="s">
        <v>304</v>
      </c>
      <c r="C230" s="82" t="s">
        <v>317</v>
      </c>
      <c r="D230" s="82" t="s">
        <v>51</v>
      </c>
      <c r="E230" s="82" t="s">
        <v>307</v>
      </c>
      <c r="F230" s="82" t="s">
        <v>424</v>
      </c>
      <c r="G230" s="82">
        <v>8.3000000000000007</v>
      </c>
      <c r="H230" s="82">
        <v>9</v>
      </c>
      <c r="I230" s="83">
        <f t="shared" si="6"/>
        <v>92.222222222222229</v>
      </c>
      <c r="J230" s="82">
        <v>101.6</v>
      </c>
      <c r="K230" s="84">
        <v>18288</v>
      </c>
      <c r="L230" s="82">
        <v>0</v>
      </c>
      <c r="M230" s="82" t="s">
        <v>327</v>
      </c>
      <c r="N230" s="82">
        <v>2.1</v>
      </c>
      <c r="O230" s="82">
        <f t="shared" si="7"/>
        <v>70.703703703703709</v>
      </c>
    </row>
    <row r="231" spans="1:15" ht="15" customHeight="1" x14ac:dyDescent="0.25">
      <c r="A231" s="82" t="s">
        <v>602</v>
      </c>
      <c r="B231" s="82" t="s">
        <v>360</v>
      </c>
      <c r="C231" s="82" t="s">
        <v>312</v>
      </c>
      <c r="D231" s="82" t="s">
        <v>313</v>
      </c>
      <c r="E231" s="82" t="s">
        <v>334</v>
      </c>
      <c r="F231" s="82" t="s">
        <v>326</v>
      </c>
      <c r="G231" s="82">
        <v>9</v>
      </c>
      <c r="H231" s="82">
        <v>11</v>
      </c>
      <c r="I231" s="83">
        <f t="shared" si="6"/>
        <v>81.818181818181827</v>
      </c>
      <c r="J231" s="82">
        <v>75.400000000000006</v>
      </c>
      <c r="K231" s="84">
        <v>13572</v>
      </c>
      <c r="L231" s="82">
        <v>0</v>
      </c>
      <c r="M231" s="82" t="s">
        <v>327</v>
      </c>
      <c r="N231" s="82">
        <v>0.8</v>
      </c>
      <c r="O231" s="82">
        <f t="shared" si="7"/>
        <v>75.867768595041326</v>
      </c>
    </row>
    <row r="232" spans="1:15" ht="15" customHeight="1" x14ac:dyDescent="0.25">
      <c r="A232" s="82" t="s">
        <v>603</v>
      </c>
      <c r="B232" s="82" t="s">
        <v>349</v>
      </c>
      <c r="C232" s="82" t="s">
        <v>329</v>
      </c>
      <c r="D232" s="82" t="s">
        <v>330</v>
      </c>
      <c r="E232" s="82" t="s">
        <v>408</v>
      </c>
      <c r="F232" s="82" t="s">
        <v>331</v>
      </c>
      <c r="G232" s="82">
        <v>6.7</v>
      </c>
      <c r="H232" s="82">
        <v>11</v>
      </c>
      <c r="I232" s="83">
        <f t="shared" si="6"/>
        <v>60.909090909090914</v>
      </c>
      <c r="J232" s="82">
        <v>95.8</v>
      </c>
      <c r="K232" s="84">
        <v>17244</v>
      </c>
      <c r="L232" s="82">
        <v>0</v>
      </c>
      <c r="M232" s="82" t="s">
        <v>327</v>
      </c>
      <c r="N232" s="82">
        <v>2</v>
      </c>
      <c r="O232" s="82">
        <f t="shared" si="7"/>
        <v>49.834710743801651</v>
      </c>
    </row>
    <row r="233" spans="1:15" ht="15" customHeight="1" x14ac:dyDescent="0.25">
      <c r="A233" s="82" t="s">
        <v>604</v>
      </c>
      <c r="B233" s="82" t="s">
        <v>304</v>
      </c>
      <c r="C233" s="82" t="s">
        <v>317</v>
      </c>
      <c r="D233" s="82" t="s">
        <v>51</v>
      </c>
      <c r="E233" s="82" t="s">
        <v>372</v>
      </c>
      <c r="F233" s="82" t="s">
        <v>454</v>
      </c>
      <c r="G233" s="82">
        <v>4.4000000000000004</v>
      </c>
      <c r="H233" s="82">
        <v>12</v>
      </c>
      <c r="I233" s="83">
        <f t="shared" si="6"/>
        <v>36.666666666666671</v>
      </c>
      <c r="J233" s="82">
        <v>72.5</v>
      </c>
      <c r="K233" s="84">
        <v>13050</v>
      </c>
      <c r="L233" s="82">
        <v>0</v>
      </c>
      <c r="M233" s="82" t="s">
        <v>327</v>
      </c>
      <c r="N233" s="82">
        <v>0.9</v>
      </c>
      <c r="O233" s="82">
        <f t="shared" si="7"/>
        <v>33.916666666666671</v>
      </c>
    </row>
    <row r="234" spans="1:15" ht="15" customHeight="1" x14ac:dyDescent="0.25">
      <c r="A234" s="82" t="s">
        <v>605</v>
      </c>
      <c r="B234" s="82" t="s">
        <v>71</v>
      </c>
      <c r="C234" s="82" t="s">
        <v>329</v>
      </c>
      <c r="D234" s="82" t="s">
        <v>330</v>
      </c>
      <c r="E234" s="82" t="s">
        <v>307</v>
      </c>
      <c r="F234" s="82" t="s">
        <v>398</v>
      </c>
      <c r="G234" s="82">
        <v>6.7</v>
      </c>
      <c r="H234" s="82">
        <v>11</v>
      </c>
      <c r="I234" s="83">
        <f t="shared" si="6"/>
        <v>60.909090909090914</v>
      </c>
      <c r="J234" s="82">
        <v>108.7</v>
      </c>
      <c r="K234" s="84">
        <v>19566</v>
      </c>
      <c r="L234" s="82">
        <v>0</v>
      </c>
      <c r="M234" s="82" t="s">
        <v>327</v>
      </c>
      <c r="N234" s="82">
        <v>0.7</v>
      </c>
      <c r="O234" s="82">
        <f t="shared" si="7"/>
        <v>57.033057851239676</v>
      </c>
    </row>
    <row r="235" spans="1:15" ht="15" customHeight="1" x14ac:dyDescent="0.25">
      <c r="A235" s="82" t="s">
        <v>606</v>
      </c>
      <c r="B235" s="82" t="s">
        <v>360</v>
      </c>
      <c r="C235" s="82" t="s">
        <v>340</v>
      </c>
      <c r="D235" s="82" t="s">
        <v>341</v>
      </c>
      <c r="E235" s="82" t="s">
        <v>435</v>
      </c>
      <c r="F235" s="82" t="s">
        <v>352</v>
      </c>
      <c r="G235" s="82">
        <v>5.5</v>
      </c>
      <c r="H235" s="82">
        <v>9</v>
      </c>
      <c r="I235" s="83">
        <f t="shared" si="6"/>
        <v>61.111111111111114</v>
      </c>
      <c r="J235" s="82">
        <v>92.8</v>
      </c>
      <c r="K235" s="84">
        <v>16704</v>
      </c>
      <c r="L235" s="82">
        <v>2</v>
      </c>
      <c r="M235" s="82" t="s">
        <v>309</v>
      </c>
      <c r="N235" s="82">
        <v>4.2</v>
      </c>
      <c r="O235" s="82">
        <f t="shared" si="7"/>
        <v>32.592592592592595</v>
      </c>
    </row>
    <row r="236" spans="1:15" ht="15" customHeight="1" x14ac:dyDescent="0.25">
      <c r="A236" s="82" t="s">
        <v>607</v>
      </c>
      <c r="B236" s="82" t="s">
        <v>67</v>
      </c>
      <c r="C236" s="82" t="s">
        <v>340</v>
      </c>
      <c r="D236" s="82" t="s">
        <v>341</v>
      </c>
      <c r="E236" s="82" t="s">
        <v>345</v>
      </c>
      <c r="F236" s="82" t="s">
        <v>319</v>
      </c>
      <c r="G236" s="82">
        <v>4.2</v>
      </c>
      <c r="H236" s="82">
        <v>8</v>
      </c>
      <c r="I236" s="83">
        <f t="shared" si="6"/>
        <v>52.5</v>
      </c>
      <c r="J236" s="82">
        <v>57.7</v>
      </c>
      <c r="K236" s="84">
        <v>10386</v>
      </c>
      <c r="L236" s="82">
        <v>0</v>
      </c>
      <c r="M236" s="82" t="s">
        <v>327</v>
      </c>
      <c r="N236" s="82">
        <v>0.3</v>
      </c>
      <c r="O236" s="82">
        <f t="shared" si="7"/>
        <v>50.53125</v>
      </c>
    </row>
    <row r="237" spans="1:15" ht="15" customHeight="1" x14ac:dyDescent="0.25">
      <c r="A237" s="82" t="s">
        <v>608</v>
      </c>
      <c r="B237" s="82" t="s">
        <v>371</v>
      </c>
      <c r="C237" s="82" t="s">
        <v>322</v>
      </c>
      <c r="D237" s="82" t="s">
        <v>62</v>
      </c>
      <c r="E237" s="82" t="s">
        <v>337</v>
      </c>
      <c r="F237" s="82" t="s">
        <v>338</v>
      </c>
      <c r="G237" s="82">
        <v>5.0999999999999996</v>
      </c>
      <c r="H237" s="82">
        <v>12</v>
      </c>
      <c r="I237" s="83">
        <f t="shared" si="6"/>
        <v>42.5</v>
      </c>
      <c r="J237" s="82">
        <v>50.2</v>
      </c>
      <c r="K237" s="84">
        <v>9036</v>
      </c>
      <c r="L237" s="82">
        <v>0</v>
      </c>
      <c r="M237" s="82" t="s">
        <v>327</v>
      </c>
      <c r="N237" s="82">
        <v>0.3</v>
      </c>
      <c r="O237" s="82">
        <f t="shared" si="7"/>
        <v>41.4375</v>
      </c>
    </row>
    <row r="238" spans="1:15" ht="15" customHeight="1" x14ac:dyDescent="0.25">
      <c r="A238" s="82" t="s">
        <v>609</v>
      </c>
      <c r="B238" s="82" t="s">
        <v>321</v>
      </c>
      <c r="C238" s="82" t="s">
        <v>317</v>
      </c>
      <c r="D238" s="82" t="s">
        <v>51</v>
      </c>
      <c r="E238" s="82" t="s">
        <v>345</v>
      </c>
      <c r="F238" s="82" t="s">
        <v>382</v>
      </c>
      <c r="G238" s="82">
        <v>4.5999999999999996</v>
      </c>
      <c r="H238" s="82">
        <v>12</v>
      </c>
      <c r="I238" s="83">
        <f t="shared" si="6"/>
        <v>38.333333333333329</v>
      </c>
      <c r="J238" s="82">
        <v>67.7</v>
      </c>
      <c r="K238" s="84">
        <v>12186</v>
      </c>
      <c r="L238" s="82">
        <v>0</v>
      </c>
      <c r="M238" s="82" t="s">
        <v>327</v>
      </c>
      <c r="N238" s="82">
        <v>1.7</v>
      </c>
      <c r="O238" s="82">
        <f t="shared" si="7"/>
        <v>32.902777777777779</v>
      </c>
    </row>
    <row r="239" spans="1:15" ht="15" customHeight="1" x14ac:dyDescent="0.25">
      <c r="A239" s="82" t="s">
        <v>610</v>
      </c>
      <c r="B239" s="82" t="s">
        <v>369</v>
      </c>
      <c r="C239" s="82" t="s">
        <v>322</v>
      </c>
      <c r="D239" s="82" t="s">
        <v>62</v>
      </c>
      <c r="E239" s="82" t="s">
        <v>334</v>
      </c>
      <c r="F239" s="82" t="s">
        <v>335</v>
      </c>
      <c r="G239" s="82">
        <v>4.5</v>
      </c>
      <c r="H239" s="82">
        <v>9</v>
      </c>
      <c r="I239" s="83">
        <f t="shared" si="6"/>
        <v>50</v>
      </c>
      <c r="J239" s="82">
        <v>63.9</v>
      </c>
      <c r="K239" s="84">
        <v>11502</v>
      </c>
      <c r="L239" s="82">
        <v>1</v>
      </c>
      <c r="M239" s="82" t="s">
        <v>327</v>
      </c>
      <c r="N239" s="82">
        <v>3.3</v>
      </c>
      <c r="O239" s="82">
        <f t="shared" si="7"/>
        <v>31.666666666666664</v>
      </c>
    </row>
    <row r="240" spans="1:15" ht="15" customHeight="1" x14ac:dyDescent="0.25">
      <c r="A240" s="82" t="s">
        <v>611</v>
      </c>
      <c r="B240" s="82" t="s">
        <v>321</v>
      </c>
      <c r="C240" s="82" t="s">
        <v>305</v>
      </c>
      <c r="D240" s="82" t="s">
        <v>306</v>
      </c>
      <c r="E240" s="82" t="s">
        <v>384</v>
      </c>
      <c r="F240" s="82" t="s">
        <v>319</v>
      </c>
      <c r="G240" s="82">
        <v>8.5</v>
      </c>
      <c r="H240" s="82">
        <v>12</v>
      </c>
      <c r="I240" s="83">
        <f t="shared" si="6"/>
        <v>70.833333333333343</v>
      </c>
      <c r="J240" s="82">
        <v>136.69999999999999</v>
      </c>
      <c r="K240" s="84">
        <v>24606</v>
      </c>
      <c r="L240" s="82">
        <v>2</v>
      </c>
      <c r="M240" s="82" t="s">
        <v>327</v>
      </c>
      <c r="N240" s="82">
        <v>2.6</v>
      </c>
      <c r="O240" s="82">
        <f t="shared" si="7"/>
        <v>55.486111111111121</v>
      </c>
    </row>
    <row r="241" spans="1:15" ht="15" customHeight="1" x14ac:dyDescent="0.25">
      <c r="A241" s="82" t="s">
        <v>612</v>
      </c>
      <c r="B241" s="82" t="s">
        <v>371</v>
      </c>
      <c r="C241" s="82" t="s">
        <v>333</v>
      </c>
      <c r="D241" s="82" t="s">
        <v>86</v>
      </c>
      <c r="E241" s="82" t="s">
        <v>376</v>
      </c>
      <c r="F241" s="82" t="s">
        <v>315</v>
      </c>
      <c r="G241" s="82">
        <v>7.4</v>
      </c>
      <c r="H241" s="82">
        <v>9</v>
      </c>
      <c r="I241" s="83">
        <f t="shared" si="6"/>
        <v>82.222222222222229</v>
      </c>
      <c r="J241" s="82">
        <v>83.7</v>
      </c>
      <c r="K241" s="84">
        <v>15066</v>
      </c>
      <c r="L241" s="82">
        <v>0</v>
      </c>
      <c r="M241" s="82" t="s">
        <v>327</v>
      </c>
      <c r="N241" s="82">
        <v>2.2999999999999998</v>
      </c>
      <c r="O241" s="82">
        <f t="shared" si="7"/>
        <v>61.20987654320988</v>
      </c>
    </row>
    <row r="242" spans="1:15" ht="15" customHeight="1" x14ac:dyDescent="0.25">
      <c r="A242" s="82" t="s">
        <v>613</v>
      </c>
      <c r="B242" s="82" t="s">
        <v>386</v>
      </c>
      <c r="C242" s="82" t="s">
        <v>340</v>
      </c>
      <c r="D242" s="82" t="s">
        <v>341</v>
      </c>
      <c r="E242" s="82" t="s">
        <v>355</v>
      </c>
      <c r="F242" s="82" t="s">
        <v>402</v>
      </c>
      <c r="G242" s="82">
        <v>4.7</v>
      </c>
      <c r="H242" s="82">
        <v>12</v>
      </c>
      <c r="I242" s="83">
        <f t="shared" si="6"/>
        <v>39.166666666666664</v>
      </c>
      <c r="J242" s="82">
        <v>50.8</v>
      </c>
      <c r="K242" s="84">
        <v>9144</v>
      </c>
      <c r="L242" s="82">
        <v>0</v>
      </c>
      <c r="M242" s="82" t="s">
        <v>309</v>
      </c>
      <c r="N242" s="82">
        <v>0.6</v>
      </c>
      <c r="O242" s="82">
        <f t="shared" si="7"/>
        <v>37.208333333333329</v>
      </c>
    </row>
    <row r="243" spans="1:15" ht="15" customHeight="1" x14ac:dyDescent="0.25">
      <c r="A243" s="82" t="s">
        <v>614</v>
      </c>
      <c r="B243" s="82" t="s">
        <v>349</v>
      </c>
      <c r="C243" s="82" t="s">
        <v>312</v>
      </c>
      <c r="D243" s="82" t="s">
        <v>313</v>
      </c>
      <c r="E243" s="82" t="s">
        <v>423</v>
      </c>
      <c r="F243" s="82" t="s">
        <v>367</v>
      </c>
      <c r="G243" s="82">
        <v>7.3</v>
      </c>
      <c r="H243" s="82">
        <v>8</v>
      </c>
      <c r="I243" s="83">
        <f t="shared" si="6"/>
        <v>91.25</v>
      </c>
      <c r="J243" s="82">
        <v>100.7</v>
      </c>
      <c r="K243" s="84">
        <v>18126</v>
      </c>
      <c r="L243" s="82">
        <v>0</v>
      </c>
      <c r="M243" s="82" t="s">
        <v>327</v>
      </c>
      <c r="N243" s="82">
        <v>0.1</v>
      </c>
      <c r="O243" s="82">
        <f t="shared" si="7"/>
        <v>90.109375</v>
      </c>
    </row>
    <row r="244" spans="1:15" ht="15" customHeight="1" x14ac:dyDescent="0.25">
      <c r="A244" s="82" t="s">
        <v>615</v>
      </c>
      <c r="B244" s="82" t="s">
        <v>71</v>
      </c>
      <c r="C244" s="82" t="s">
        <v>340</v>
      </c>
      <c r="D244" s="82" t="s">
        <v>341</v>
      </c>
      <c r="E244" s="82" t="s">
        <v>345</v>
      </c>
      <c r="F244" s="82" t="s">
        <v>406</v>
      </c>
      <c r="G244" s="82">
        <v>5.8</v>
      </c>
      <c r="H244" s="82">
        <v>9</v>
      </c>
      <c r="I244" s="83">
        <f t="shared" si="6"/>
        <v>64.444444444444443</v>
      </c>
      <c r="J244" s="82">
        <v>59.4</v>
      </c>
      <c r="K244" s="84">
        <v>10692</v>
      </c>
      <c r="L244" s="82">
        <v>0</v>
      </c>
      <c r="M244" s="82" t="s">
        <v>309</v>
      </c>
      <c r="N244" s="82">
        <v>0.9</v>
      </c>
      <c r="O244" s="82">
        <f t="shared" si="7"/>
        <v>58</v>
      </c>
    </row>
    <row r="245" spans="1:15" ht="15" customHeight="1" x14ac:dyDescent="0.25">
      <c r="A245" s="82" t="s">
        <v>616</v>
      </c>
      <c r="B245" s="82" t="s">
        <v>386</v>
      </c>
      <c r="C245" s="82" t="s">
        <v>340</v>
      </c>
      <c r="D245" s="82" t="s">
        <v>341</v>
      </c>
      <c r="E245" s="82" t="s">
        <v>381</v>
      </c>
      <c r="F245" s="82" t="s">
        <v>454</v>
      </c>
      <c r="G245" s="82">
        <v>6.5</v>
      </c>
      <c r="H245" s="82">
        <v>11</v>
      </c>
      <c r="I245" s="83">
        <f t="shared" si="6"/>
        <v>59.090909090909093</v>
      </c>
      <c r="J245" s="82">
        <v>52.7</v>
      </c>
      <c r="K245" s="84">
        <v>9486</v>
      </c>
      <c r="L245" s="82">
        <v>0</v>
      </c>
      <c r="M245" s="82" t="s">
        <v>343</v>
      </c>
      <c r="N245" s="82">
        <v>2.9</v>
      </c>
      <c r="O245" s="82">
        <f t="shared" si="7"/>
        <v>43.512396694214878</v>
      </c>
    </row>
    <row r="246" spans="1:15" ht="15" customHeight="1" x14ac:dyDescent="0.25">
      <c r="A246" s="82" t="s">
        <v>617</v>
      </c>
      <c r="B246" s="82" t="s">
        <v>311</v>
      </c>
      <c r="C246" s="82" t="s">
        <v>340</v>
      </c>
      <c r="D246" s="82" t="s">
        <v>341</v>
      </c>
      <c r="E246" s="82" t="s">
        <v>334</v>
      </c>
      <c r="F246" s="82" t="s">
        <v>382</v>
      </c>
      <c r="G246" s="82">
        <v>4.9000000000000004</v>
      </c>
      <c r="H246" s="82">
        <v>9</v>
      </c>
      <c r="I246" s="83">
        <f t="shared" si="6"/>
        <v>54.44444444444445</v>
      </c>
      <c r="J246" s="82">
        <v>85.7</v>
      </c>
      <c r="K246" s="84">
        <v>15426</v>
      </c>
      <c r="L246" s="82">
        <v>0</v>
      </c>
      <c r="M246" s="82" t="s">
        <v>343</v>
      </c>
      <c r="N246" s="82">
        <v>2.2000000000000002</v>
      </c>
      <c r="O246" s="82">
        <f t="shared" si="7"/>
        <v>41.135802469135804</v>
      </c>
    </row>
    <row r="247" spans="1:15" ht="15" customHeight="1" x14ac:dyDescent="0.25">
      <c r="A247" s="82" t="s">
        <v>618</v>
      </c>
      <c r="B247" s="82" t="s">
        <v>386</v>
      </c>
      <c r="C247" s="82" t="s">
        <v>322</v>
      </c>
      <c r="D247" s="82" t="s">
        <v>62</v>
      </c>
      <c r="E247" s="82" t="s">
        <v>318</v>
      </c>
      <c r="F247" s="82" t="s">
        <v>374</v>
      </c>
      <c r="G247" s="82">
        <v>5.6</v>
      </c>
      <c r="H247" s="82">
        <v>11</v>
      </c>
      <c r="I247" s="83">
        <f t="shared" si="6"/>
        <v>50.909090909090907</v>
      </c>
      <c r="J247" s="82">
        <v>59.6</v>
      </c>
      <c r="K247" s="84">
        <v>10728</v>
      </c>
      <c r="L247" s="82">
        <v>0</v>
      </c>
      <c r="M247" s="82" t="s">
        <v>309</v>
      </c>
      <c r="N247" s="82">
        <v>1.6</v>
      </c>
      <c r="O247" s="82">
        <f t="shared" si="7"/>
        <v>43.504132231404952</v>
      </c>
    </row>
    <row r="248" spans="1:15" ht="15" customHeight="1" x14ac:dyDescent="0.25">
      <c r="A248" s="82" t="s">
        <v>619</v>
      </c>
      <c r="B248" s="82" t="s">
        <v>369</v>
      </c>
      <c r="C248" s="82" t="s">
        <v>333</v>
      </c>
      <c r="D248" s="82" t="s">
        <v>86</v>
      </c>
      <c r="E248" s="82" t="s">
        <v>325</v>
      </c>
      <c r="F248" s="82" t="s">
        <v>382</v>
      </c>
      <c r="G248" s="82">
        <v>4.2</v>
      </c>
      <c r="H248" s="82">
        <v>8</v>
      </c>
      <c r="I248" s="83">
        <f t="shared" si="6"/>
        <v>52.5</v>
      </c>
      <c r="J248" s="82">
        <v>60.8</v>
      </c>
      <c r="K248" s="84">
        <v>10944</v>
      </c>
      <c r="L248" s="82">
        <v>0</v>
      </c>
      <c r="M248" s="82" t="s">
        <v>343</v>
      </c>
      <c r="N248" s="82">
        <v>1.9</v>
      </c>
      <c r="O248" s="82">
        <f t="shared" si="7"/>
        <v>40.03125</v>
      </c>
    </row>
    <row r="249" spans="1:15" ht="15" customHeight="1" x14ac:dyDescent="0.25">
      <c r="A249" s="82" t="s">
        <v>620</v>
      </c>
      <c r="B249" s="82" t="s">
        <v>71</v>
      </c>
      <c r="C249" s="82" t="s">
        <v>305</v>
      </c>
      <c r="D249" s="82" t="s">
        <v>306</v>
      </c>
      <c r="E249" s="82" t="s">
        <v>384</v>
      </c>
      <c r="F249" s="82" t="s">
        <v>342</v>
      </c>
      <c r="G249" s="82">
        <v>5.4</v>
      </c>
      <c r="H249" s="82">
        <v>12</v>
      </c>
      <c r="I249" s="83">
        <f t="shared" si="6"/>
        <v>45</v>
      </c>
      <c r="J249" s="82">
        <v>78.5</v>
      </c>
      <c r="K249" s="84">
        <v>14130</v>
      </c>
      <c r="L249" s="82">
        <v>0</v>
      </c>
      <c r="M249" s="82" t="s">
        <v>309</v>
      </c>
      <c r="N249" s="82">
        <v>2.5</v>
      </c>
      <c r="O249" s="82">
        <f t="shared" si="7"/>
        <v>35.625</v>
      </c>
    </row>
    <row r="250" spans="1:15" ht="15" customHeight="1" x14ac:dyDescent="0.25">
      <c r="A250" s="82" t="s">
        <v>621</v>
      </c>
      <c r="B250" s="82" t="s">
        <v>304</v>
      </c>
      <c r="C250" s="82" t="s">
        <v>305</v>
      </c>
      <c r="D250" s="82" t="s">
        <v>306</v>
      </c>
      <c r="E250" s="82" t="s">
        <v>314</v>
      </c>
      <c r="F250" s="82" t="s">
        <v>374</v>
      </c>
      <c r="G250" s="82">
        <v>7.2</v>
      </c>
      <c r="H250" s="82">
        <v>12</v>
      </c>
      <c r="I250" s="83">
        <f t="shared" si="6"/>
        <v>60</v>
      </c>
      <c r="J250" s="82">
        <v>116.4</v>
      </c>
      <c r="K250" s="84">
        <v>20952</v>
      </c>
      <c r="L250" s="82">
        <v>0</v>
      </c>
      <c r="M250" s="82" t="s">
        <v>309</v>
      </c>
      <c r="N250" s="82">
        <v>2.7</v>
      </c>
      <c r="O250" s="82">
        <f t="shared" si="7"/>
        <v>46.5</v>
      </c>
    </row>
    <row r="251" spans="1:15" ht="15" customHeight="1" x14ac:dyDescent="0.25">
      <c r="A251" s="82" t="s">
        <v>622</v>
      </c>
      <c r="B251" s="82" t="s">
        <v>67</v>
      </c>
      <c r="C251" s="82" t="s">
        <v>340</v>
      </c>
      <c r="D251" s="82" t="s">
        <v>341</v>
      </c>
      <c r="E251" s="82" t="s">
        <v>334</v>
      </c>
      <c r="F251" s="82" t="s">
        <v>382</v>
      </c>
      <c r="G251" s="82">
        <v>5.0999999999999996</v>
      </c>
      <c r="H251" s="82">
        <v>9</v>
      </c>
      <c r="I251" s="83">
        <f t="shared" si="6"/>
        <v>56.666666666666664</v>
      </c>
      <c r="J251" s="82">
        <v>67</v>
      </c>
      <c r="K251" s="84">
        <v>12060</v>
      </c>
      <c r="L251" s="82">
        <v>0</v>
      </c>
      <c r="M251" s="82" t="s">
        <v>327</v>
      </c>
      <c r="N251" s="82">
        <v>0.5</v>
      </c>
      <c r="O251" s="82">
        <f t="shared" si="7"/>
        <v>53.518518518518512</v>
      </c>
    </row>
    <row r="252" spans="1:15" ht="15" customHeight="1" x14ac:dyDescent="0.25">
      <c r="A252" s="82" t="s">
        <v>623</v>
      </c>
      <c r="B252" s="82" t="s">
        <v>321</v>
      </c>
      <c r="C252" s="82" t="s">
        <v>312</v>
      </c>
      <c r="D252" s="82" t="s">
        <v>313</v>
      </c>
      <c r="E252" s="82" t="s">
        <v>408</v>
      </c>
      <c r="F252" s="82" t="s">
        <v>338</v>
      </c>
      <c r="G252" s="82">
        <v>8.3000000000000007</v>
      </c>
      <c r="H252" s="82">
        <v>10</v>
      </c>
      <c r="I252" s="83">
        <f t="shared" si="6"/>
        <v>83</v>
      </c>
      <c r="J252" s="82">
        <v>106.4</v>
      </c>
      <c r="K252" s="84">
        <v>19152</v>
      </c>
      <c r="L252" s="82">
        <v>0</v>
      </c>
      <c r="M252" s="82" t="s">
        <v>327</v>
      </c>
      <c r="N252" s="82">
        <v>0.5</v>
      </c>
      <c r="O252" s="82">
        <f t="shared" si="7"/>
        <v>78.849999999999994</v>
      </c>
    </row>
    <row r="253" spans="1:15" ht="15" customHeight="1" x14ac:dyDescent="0.25">
      <c r="A253" s="82" t="s">
        <v>624</v>
      </c>
      <c r="B253" s="82" t="s">
        <v>360</v>
      </c>
      <c r="C253" s="82" t="s">
        <v>317</v>
      </c>
      <c r="D253" s="82" t="s">
        <v>51</v>
      </c>
      <c r="E253" s="82" t="s">
        <v>408</v>
      </c>
      <c r="F253" s="82" t="s">
        <v>389</v>
      </c>
      <c r="G253" s="82">
        <v>6.9</v>
      </c>
      <c r="H253" s="82">
        <v>9</v>
      </c>
      <c r="I253" s="83">
        <f t="shared" si="6"/>
        <v>76.666666666666671</v>
      </c>
      <c r="J253" s="82">
        <v>66.3</v>
      </c>
      <c r="K253" s="84">
        <v>11934</v>
      </c>
      <c r="L253" s="82">
        <v>0</v>
      </c>
      <c r="M253" s="82" t="s">
        <v>327</v>
      </c>
      <c r="N253" s="82">
        <v>1.7</v>
      </c>
      <c r="O253" s="82">
        <f t="shared" si="7"/>
        <v>62.18518518518519</v>
      </c>
    </row>
    <row r="254" spans="1:15" ht="15" customHeight="1" x14ac:dyDescent="0.25">
      <c r="A254" s="82" t="s">
        <v>625</v>
      </c>
      <c r="B254" s="82" t="s">
        <v>67</v>
      </c>
      <c r="C254" s="82" t="s">
        <v>354</v>
      </c>
      <c r="D254" s="82" t="s">
        <v>96</v>
      </c>
      <c r="E254" s="82" t="s">
        <v>376</v>
      </c>
      <c r="F254" s="82" t="s">
        <v>402</v>
      </c>
      <c r="G254" s="82">
        <v>11.7</v>
      </c>
      <c r="H254" s="82">
        <v>12</v>
      </c>
      <c r="I254" s="83">
        <f t="shared" si="6"/>
        <v>97.5</v>
      </c>
      <c r="J254" s="82">
        <v>163.69999999999999</v>
      </c>
      <c r="K254" s="84">
        <v>29466</v>
      </c>
      <c r="L254" s="82">
        <v>0</v>
      </c>
      <c r="M254" s="82" t="s">
        <v>327</v>
      </c>
      <c r="N254" s="82">
        <v>2.2000000000000002</v>
      </c>
      <c r="O254" s="82">
        <f t="shared" si="7"/>
        <v>79.625</v>
      </c>
    </row>
    <row r="255" spans="1:15" ht="15" customHeight="1" x14ac:dyDescent="0.25">
      <c r="A255" s="82" t="s">
        <v>626</v>
      </c>
      <c r="B255" s="82" t="s">
        <v>71</v>
      </c>
      <c r="C255" s="82" t="s">
        <v>312</v>
      </c>
      <c r="D255" s="82" t="s">
        <v>313</v>
      </c>
      <c r="E255" s="82" t="s">
        <v>337</v>
      </c>
      <c r="F255" s="82" t="s">
        <v>382</v>
      </c>
      <c r="G255" s="82">
        <v>11.9</v>
      </c>
      <c r="H255" s="82">
        <v>12</v>
      </c>
      <c r="I255" s="83">
        <f t="shared" si="6"/>
        <v>99.166666666666671</v>
      </c>
      <c r="J255" s="82">
        <v>198.4</v>
      </c>
      <c r="K255" s="84">
        <v>35712</v>
      </c>
      <c r="L255" s="82">
        <v>0</v>
      </c>
      <c r="M255" s="82" t="s">
        <v>309</v>
      </c>
      <c r="N255" s="82">
        <v>1.8</v>
      </c>
      <c r="O255" s="82">
        <f t="shared" si="7"/>
        <v>84.291666666666671</v>
      </c>
    </row>
    <row r="256" spans="1:15" ht="15" customHeight="1" x14ac:dyDescent="0.25">
      <c r="A256" s="82" t="s">
        <v>627</v>
      </c>
      <c r="B256" s="82" t="s">
        <v>321</v>
      </c>
      <c r="C256" s="82" t="s">
        <v>354</v>
      </c>
      <c r="D256" s="82" t="s">
        <v>96</v>
      </c>
      <c r="E256" s="82" t="s">
        <v>372</v>
      </c>
      <c r="F256" s="82" t="s">
        <v>335</v>
      </c>
      <c r="G256" s="82">
        <v>6.1</v>
      </c>
      <c r="H256" s="82">
        <v>12</v>
      </c>
      <c r="I256" s="83">
        <f t="shared" si="6"/>
        <v>50.833333333333329</v>
      </c>
      <c r="J256" s="82">
        <v>93</v>
      </c>
      <c r="K256" s="84">
        <v>16740</v>
      </c>
      <c r="L256" s="82">
        <v>0</v>
      </c>
      <c r="M256" s="82" t="s">
        <v>327</v>
      </c>
      <c r="N256" s="82">
        <v>1.8</v>
      </c>
      <c r="O256" s="82">
        <f t="shared" si="7"/>
        <v>43.208333333333329</v>
      </c>
    </row>
    <row r="257" spans="1:15" ht="15" customHeight="1" x14ac:dyDescent="0.25">
      <c r="A257" s="82" t="s">
        <v>628</v>
      </c>
      <c r="B257" s="82" t="s">
        <v>371</v>
      </c>
      <c r="C257" s="82" t="s">
        <v>333</v>
      </c>
      <c r="D257" s="82" t="s">
        <v>86</v>
      </c>
      <c r="E257" s="82" t="s">
        <v>314</v>
      </c>
      <c r="F257" s="82" t="s">
        <v>319</v>
      </c>
      <c r="G257" s="82">
        <v>4.0999999999999996</v>
      </c>
      <c r="H257" s="82">
        <v>8</v>
      </c>
      <c r="I257" s="83">
        <f t="shared" si="6"/>
        <v>51.249999999999993</v>
      </c>
      <c r="J257" s="82">
        <v>54.2</v>
      </c>
      <c r="K257" s="84">
        <v>9756</v>
      </c>
      <c r="L257" s="82">
        <v>1</v>
      </c>
      <c r="M257" s="82" t="s">
        <v>309</v>
      </c>
      <c r="N257" s="82">
        <v>5.0999999999999996</v>
      </c>
      <c r="O257" s="82">
        <f t="shared" si="7"/>
        <v>18.578125</v>
      </c>
    </row>
    <row r="258" spans="1:15" ht="15" customHeight="1" x14ac:dyDescent="0.25">
      <c r="A258" s="82" t="s">
        <v>629</v>
      </c>
      <c r="B258" s="82" t="s">
        <v>321</v>
      </c>
      <c r="C258" s="82" t="s">
        <v>312</v>
      </c>
      <c r="D258" s="82" t="s">
        <v>313</v>
      </c>
      <c r="E258" s="82" t="s">
        <v>323</v>
      </c>
      <c r="F258" s="82" t="s">
        <v>406</v>
      </c>
      <c r="G258" s="82">
        <v>8.8000000000000007</v>
      </c>
      <c r="H258" s="82">
        <v>12</v>
      </c>
      <c r="I258" s="83">
        <f t="shared" ref="I258:I301" si="8">IF(H258&gt;0,G258/H258*100,0)</f>
        <v>73.333333333333343</v>
      </c>
      <c r="J258" s="82">
        <v>147.6</v>
      </c>
      <c r="K258" s="84">
        <v>26568</v>
      </c>
      <c r="L258" s="82">
        <v>0</v>
      </c>
      <c r="M258" s="82" t="s">
        <v>309</v>
      </c>
      <c r="N258" s="82">
        <v>0.3</v>
      </c>
      <c r="O258" s="82">
        <f t="shared" ref="O258:O301" si="9">IF(I258&gt;0,I258*(1-N258/H258),0)</f>
        <v>71.500000000000014</v>
      </c>
    </row>
    <row r="259" spans="1:15" ht="15" customHeight="1" x14ac:dyDescent="0.25">
      <c r="A259" s="82" t="s">
        <v>630</v>
      </c>
      <c r="B259" s="82" t="s">
        <v>311</v>
      </c>
      <c r="C259" s="82" t="s">
        <v>329</v>
      </c>
      <c r="D259" s="82" t="s">
        <v>330</v>
      </c>
      <c r="E259" s="82" t="s">
        <v>345</v>
      </c>
      <c r="F259" s="82" t="s">
        <v>326</v>
      </c>
      <c r="G259" s="82">
        <v>7.7</v>
      </c>
      <c r="H259" s="82">
        <v>11</v>
      </c>
      <c r="I259" s="83">
        <f t="shared" si="8"/>
        <v>70</v>
      </c>
      <c r="J259" s="82">
        <v>90.1</v>
      </c>
      <c r="K259" s="84">
        <v>16218</v>
      </c>
      <c r="L259" s="82">
        <v>0</v>
      </c>
      <c r="M259" s="82" t="s">
        <v>327</v>
      </c>
      <c r="N259" s="82">
        <v>0.7</v>
      </c>
      <c r="O259" s="82">
        <f t="shared" si="9"/>
        <v>65.545454545454547</v>
      </c>
    </row>
    <row r="260" spans="1:15" ht="15" customHeight="1" x14ac:dyDescent="0.25">
      <c r="A260" s="82" t="s">
        <v>631</v>
      </c>
      <c r="B260" s="82" t="s">
        <v>386</v>
      </c>
      <c r="C260" s="82" t="s">
        <v>333</v>
      </c>
      <c r="D260" s="82" t="s">
        <v>86</v>
      </c>
      <c r="E260" s="82" t="s">
        <v>410</v>
      </c>
      <c r="F260" s="82" t="s">
        <v>439</v>
      </c>
      <c r="G260" s="82">
        <v>4.8</v>
      </c>
      <c r="H260" s="82">
        <v>12</v>
      </c>
      <c r="I260" s="83">
        <f t="shared" si="8"/>
        <v>40</v>
      </c>
      <c r="J260" s="82">
        <v>44.8</v>
      </c>
      <c r="K260" s="84">
        <v>8064</v>
      </c>
      <c r="L260" s="82">
        <v>0</v>
      </c>
      <c r="M260" s="82" t="s">
        <v>327</v>
      </c>
      <c r="N260" s="82">
        <v>2.6</v>
      </c>
      <c r="O260" s="82">
        <f t="shared" si="9"/>
        <v>31.333333333333332</v>
      </c>
    </row>
    <row r="261" spans="1:15" ht="15" customHeight="1" x14ac:dyDescent="0.25">
      <c r="A261" s="82" t="s">
        <v>632</v>
      </c>
      <c r="B261" s="82" t="s">
        <v>71</v>
      </c>
      <c r="C261" s="82" t="s">
        <v>329</v>
      </c>
      <c r="D261" s="82" t="s">
        <v>330</v>
      </c>
      <c r="E261" s="82" t="s">
        <v>345</v>
      </c>
      <c r="F261" s="82" t="s">
        <v>338</v>
      </c>
      <c r="G261" s="82">
        <v>5.0999999999999996</v>
      </c>
      <c r="H261" s="82">
        <v>10</v>
      </c>
      <c r="I261" s="83">
        <f t="shared" si="8"/>
        <v>51</v>
      </c>
      <c r="J261" s="82">
        <v>77</v>
      </c>
      <c r="K261" s="84">
        <v>13860</v>
      </c>
      <c r="L261" s="82">
        <v>0</v>
      </c>
      <c r="M261" s="82" t="s">
        <v>327</v>
      </c>
      <c r="N261" s="82">
        <v>0.4</v>
      </c>
      <c r="O261" s="82">
        <f t="shared" si="9"/>
        <v>48.96</v>
      </c>
    </row>
    <row r="262" spans="1:15" ht="15" customHeight="1" x14ac:dyDescent="0.25">
      <c r="A262" s="82" t="s">
        <v>633</v>
      </c>
      <c r="B262" s="82" t="s">
        <v>67</v>
      </c>
      <c r="C262" s="82" t="s">
        <v>333</v>
      </c>
      <c r="D262" s="82" t="s">
        <v>86</v>
      </c>
      <c r="E262" s="82" t="s">
        <v>337</v>
      </c>
      <c r="F262" s="82" t="s">
        <v>347</v>
      </c>
      <c r="G262" s="82">
        <v>6.5</v>
      </c>
      <c r="H262" s="82">
        <v>10</v>
      </c>
      <c r="I262" s="83">
        <f t="shared" si="8"/>
        <v>65</v>
      </c>
      <c r="J262" s="82">
        <v>58.9</v>
      </c>
      <c r="K262" s="84">
        <v>10602</v>
      </c>
      <c r="L262" s="82">
        <v>0</v>
      </c>
      <c r="M262" s="82" t="s">
        <v>327</v>
      </c>
      <c r="N262" s="82">
        <v>0.8</v>
      </c>
      <c r="O262" s="82">
        <f t="shared" si="9"/>
        <v>59.800000000000004</v>
      </c>
    </row>
    <row r="263" spans="1:15" ht="15" customHeight="1" x14ac:dyDescent="0.25">
      <c r="A263" s="82" t="s">
        <v>634</v>
      </c>
      <c r="B263" s="82" t="s">
        <v>304</v>
      </c>
      <c r="C263" s="82" t="s">
        <v>333</v>
      </c>
      <c r="D263" s="82" t="s">
        <v>86</v>
      </c>
      <c r="E263" s="82" t="s">
        <v>384</v>
      </c>
      <c r="F263" s="82" t="s">
        <v>315</v>
      </c>
      <c r="G263" s="82">
        <v>6.2</v>
      </c>
      <c r="H263" s="82">
        <v>12</v>
      </c>
      <c r="I263" s="83">
        <f t="shared" si="8"/>
        <v>51.666666666666671</v>
      </c>
      <c r="J263" s="82">
        <v>91.8</v>
      </c>
      <c r="K263" s="84">
        <v>16524</v>
      </c>
      <c r="L263" s="82">
        <v>0</v>
      </c>
      <c r="M263" s="82" t="s">
        <v>327</v>
      </c>
      <c r="N263" s="82">
        <v>2.4</v>
      </c>
      <c r="O263" s="82">
        <f t="shared" si="9"/>
        <v>41.333333333333343</v>
      </c>
    </row>
    <row r="264" spans="1:15" ht="15" customHeight="1" x14ac:dyDescent="0.25">
      <c r="A264" s="82" t="s">
        <v>635</v>
      </c>
      <c r="B264" s="82" t="s">
        <v>386</v>
      </c>
      <c r="C264" s="82" t="s">
        <v>354</v>
      </c>
      <c r="D264" s="82" t="s">
        <v>96</v>
      </c>
      <c r="E264" s="82" t="s">
        <v>410</v>
      </c>
      <c r="F264" s="82" t="s">
        <v>342</v>
      </c>
      <c r="G264" s="82">
        <v>7.9</v>
      </c>
      <c r="H264" s="82">
        <v>12</v>
      </c>
      <c r="I264" s="83">
        <f t="shared" si="8"/>
        <v>65.833333333333329</v>
      </c>
      <c r="J264" s="82">
        <v>141.30000000000001</v>
      </c>
      <c r="K264" s="84">
        <v>25434</v>
      </c>
      <c r="L264" s="82">
        <v>0</v>
      </c>
      <c r="M264" s="82" t="s">
        <v>309</v>
      </c>
      <c r="N264" s="82">
        <v>1.2</v>
      </c>
      <c r="O264" s="82">
        <f t="shared" si="9"/>
        <v>59.25</v>
      </c>
    </row>
    <row r="265" spans="1:15" ht="15" customHeight="1" x14ac:dyDescent="0.25">
      <c r="A265" s="82" t="s">
        <v>636</v>
      </c>
      <c r="B265" s="82" t="s">
        <v>311</v>
      </c>
      <c r="C265" s="82" t="s">
        <v>312</v>
      </c>
      <c r="D265" s="82" t="s">
        <v>313</v>
      </c>
      <c r="E265" s="82" t="s">
        <v>408</v>
      </c>
      <c r="F265" s="82" t="s">
        <v>382</v>
      </c>
      <c r="G265" s="82">
        <v>4.5</v>
      </c>
      <c r="H265" s="82">
        <v>9</v>
      </c>
      <c r="I265" s="83">
        <f t="shared" si="8"/>
        <v>50</v>
      </c>
      <c r="J265" s="82">
        <v>58.9</v>
      </c>
      <c r="K265" s="84">
        <v>10602</v>
      </c>
      <c r="L265" s="82">
        <v>0</v>
      </c>
      <c r="M265" s="82" t="s">
        <v>309</v>
      </c>
      <c r="N265" s="82">
        <v>1.8</v>
      </c>
      <c r="O265" s="82">
        <f t="shared" si="9"/>
        <v>40</v>
      </c>
    </row>
    <row r="266" spans="1:15" ht="15" customHeight="1" x14ac:dyDescent="0.25">
      <c r="A266" s="82" t="s">
        <v>637</v>
      </c>
      <c r="B266" s="82" t="s">
        <v>67</v>
      </c>
      <c r="C266" s="82" t="s">
        <v>354</v>
      </c>
      <c r="D266" s="82" t="s">
        <v>96</v>
      </c>
      <c r="E266" s="82" t="s">
        <v>314</v>
      </c>
      <c r="F266" s="82" t="s">
        <v>352</v>
      </c>
      <c r="G266" s="82">
        <v>7.2</v>
      </c>
      <c r="H266" s="82">
        <v>8</v>
      </c>
      <c r="I266" s="83">
        <f t="shared" si="8"/>
        <v>90</v>
      </c>
      <c r="J266" s="82">
        <v>116.9</v>
      </c>
      <c r="K266" s="84">
        <v>21042</v>
      </c>
      <c r="L266" s="82">
        <v>0</v>
      </c>
      <c r="M266" s="82" t="s">
        <v>309</v>
      </c>
      <c r="N266" s="82">
        <v>0.3</v>
      </c>
      <c r="O266" s="82">
        <f t="shared" si="9"/>
        <v>86.625</v>
      </c>
    </row>
    <row r="267" spans="1:15" ht="15" customHeight="1" x14ac:dyDescent="0.25">
      <c r="A267" s="82" t="s">
        <v>638</v>
      </c>
      <c r="B267" s="82" t="s">
        <v>71</v>
      </c>
      <c r="C267" s="82" t="s">
        <v>363</v>
      </c>
      <c r="D267" s="82" t="s">
        <v>103</v>
      </c>
      <c r="E267" s="82" t="s">
        <v>410</v>
      </c>
      <c r="F267" s="82" t="s">
        <v>454</v>
      </c>
      <c r="G267" s="82">
        <v>4.3</v>
      </c>
      <c r="H267" s="82">
        <v>12</v>
      </c>
      <c r="I267" s="83">
        <f t="shared" si="8"/>
        <v>35.833333333333336</v>
      </c>
      <c r="J267" s="82">
        <v>50.9</v>
      </c>
      <c r="K267" s="84">
        <v>9162</v>
      </c>
      <c r="L267" s="82">
        <v>2</v>
      </c>
      <c r="M267" s="82" t="s">
        <v>309</v>
      </c>
      <c r="N267" s="82">
        <v>3.6</v>
      </c>
      <c r="O267" s="82">
        <f t="shared" si="9"/>
        <v>25.083333333333332</v>
      </c>
    </row>
    <row r="268" spans="1:15" ht="15" customHeight="1" x14ac:dyDescent="0.25">
      <c r="A268" s="82" t="s">
        <v>639</v>
      </c>
      <c r="B268" s="82" t="s">
        <v>321</v>
      </c>
      <c r="C268" s="82" t="s">
        <v>317</v>
      </c>
      <c r="D268" s="82" t="s">
        <v>51</v>
      </c>
      <c r="E268" s="82" t="s">
        <v>323</v>
      </c>
      <c r="F268" s="82" t="s">
        <v>352</v>
      </c>
      <c r="G268" s="82">
        <v>7.1</v>
      </c>
      <c r="H268" s="82">
        <v>11</v>
      </c>
      <c r="I268" s="83">
        <f t="shared" si="8"/>
        <v>64.545454545454533</v>
      </c>
      <c r="J268" s="82">
        <v>71.099999999999994</v>
      </c>
      <c r="K268" s="84">
        <v>12798</v>
      </c>
      <c r="L268" s="82">
        <v>0</v>
      </c>
      <c r="M268" s="82" t="s">
        <v>309</v>
      </c>
      <c r="N268" s="82">
        <v>0.9</v>
      </c>
      <c r="O268" s="82">
        <f t="shared" si="9"/>
        <v>59.264462809917347</v>
      </c>
    </row>
    <row r="269" spans="1:15" ht="15" customHeight="1" x14ac:dyDescent="0.25">
      <c r="A269" s="82" t="s">
        <v>640</v>
      </c>
      <c r="B269" s="82" t="s">
        <v>67</v>
      </c>
      <c r="C269" s="82" t="s">
        <v>329</v>
      </c>
      <c r="D269" s="82" t="s">
        <v>330</v>
      </c>
      <c r="E269" s="82" t="s">
        <v>381</v>
      </c>
      <c r="F269" s="82" t="s">
        <v>367</v>
      </c>
      <c r="G269" s="82">
        <v>7.1</v>
      </c>
      <c r="H269" s="82">
        <v>9</v>
      </c>
      <c r="I269" s="83">
        <f t="shared" si="8"/>
        <v>78.888888888888886</v>
      </c>
      <c r="J269" s="82">
        <v>104.7</v>
      </c>
      <c r="K269" s="84">
        <v>18846</v>
      </c>
      <c r="L269" s="82">
        <v>0</v>
      </c>
      <c r="M269" s="82" t="s">
        <v>309</v>
      </c>
      <c r="N269" s="82">
        <v>2.9</v>
      </c>
      <c r="O269" s="82">
        <f t="shared" si="9"/>
        <v>53.46913580246914</v>
      </c>
    </row>
    <row r="270" spans="1:15" ht="15" customHeight="1" x14ac:dyDescent="0.25">
      <c r="A270" s="82" t="s">
        <v>641</v>
      </c>
      <c r="B270" s="82" t="s">
        <v>349</v>
      </c>
      <c r="C270" s="82" t="s">
        <v>305</v>
      </c>
      <c r="D270" s="82" t="s">
        <v>306</v>
      </c>
      <c r="E270" s="82" t="s">
        <v>314</v>
      </c>
      <c r="F270" s="82" t="s">
        <v>315</v>
      </c>
      <c r="G270" s="82">
        <v>6.8</v>
      </c>
      <c r="H270" s="82">
        <v>11</v>
      </c>
      <c r="I270" s="83">
        <f t="shared" si="8"/>
        <v>61.818181818181813</v>
      </c>
      <c r="J270" s="82">
        <v>68</v>
      </c>
      <c r="K270" s="84">
        <v>12240</v>
      </c>
      <c r="L270" s="82">
        <v>0</v>
      </c>
      <c r="M270" s="82" t="s">
        <v>309</v>
      </c>
      <c r="N270" s="82">
        <v>2.8</v>
      </c>
      <c r="O270" s="82">
        <f t="shared" si="9"/>
        <v>46.082644628099175</v>
      </c>
    </row>
    <row r="271" spans="1:15" ht="15" customHeight="1" x14ac:dyDescent="0.25">
      <c r="A271" s="82" t="s">
        <v>642</v>
      </c>
      <c r="B271" s="82" t="s">
        <v>304</v>
      </c>
      <c r="C271" s="82" t="s">
        <v>305</v>
      </c>
      <c r="D271" s="82" t="s">
        <v>306</v>
      </c>
      <c r="E271" s="82" t="s">
        <v>345</v>
      </c>
      <c r="F271" s="82" t="s">
        <v>439</v>
      </c>
      <c r="G271" s="82">
        <v>6.1</v>
      </c>
      <c r="H271" s="82">
        <v>10</v>
      </c>
      <c r="I271" s="83">
        <f t="shared" si="8"/>
        <v>61</v>
      </c>
      <c r="J271" s="82">
        <v>98.5</v>
      </c>
      <c r="K271" s="84">
        <v>17730</v>
      </c>
      <c r="L271" s="82">
        <v>0</v>
      </c>
      <c r="M271" s="82" t="s">
        <v>343</v>
      </c>
      <c r="N271" s="82">
        <v>1.4</v>
      </c>
      <c r="O271" s="82">
        <f t="shared" si="9"/>
        <v>52.46</v>
      </c>
    </row>
    <row r="272" spans="1:15" ht="15" customHeight="1" x14ac:dyDescent="0.25">
      <c r="A272" s="82" t="s">
        <v>643</v>
      </c>
      <c r="B272" s="82" t="s">
        <v>360</v>
      </c>
      <c r="C272" s="82" t="s">
        <v>329</v>
      </c>
      <c r="D272" s="82" t="s">
        <v>330</v>
      </c>
      <c r="E272" s="82" t="s">
        <v>423</v>
      </c>
      <c r="F272" s="82" t="s">
        <v>331</v>
      </c>
      <c r="G272" s="82">
        <v>6</v>
      </c>
      <c r="H272" s="82">
        <v>9</v>
      </c>
      <c r="I272" s="83">
        <f t="shared" si="8"/>
        <v>66.666666666666657</v>
      </c>
      <c r="J272" s="82">
        <v>54.4</v>
      </c>
      <c r="K272" s="84">
        <v>9792</v>
      </c>
      <c r="L272" s="82">
        <v>0</v>
      </c>
      <c r="M272" s="82" t="s">
        <v>327</v>
      </c>
      <c r="N272" s="82">
        <v>2.8</v>
      </c>
      <c r="O272" s="82">
        <f t="shared" si="9"/>
        <v>45.925925925925917</v>
      </c>
    </row>
    <row r="273" spans="1:15" ht="15" customHeight="1" x14ac:dyDescent="0.25">
      <c r="A273" s="82" t="s">
        <v>644</v>
      </c>
      <c r="B273" s="82" t="s">
        <v>304</v>
      </c>
      <c r="C273" s="82" t="s">
        <v>305</v>
      </c>
      <c r="D273" s="82" t="s">
        <v>306</v>
      </c>
      <c r="E273" s="82" t="s">
        <v>345</v>
      </c>
      <c r="F273" s="82" t="s">
        <v>439</v>
      </c>
      <c r="G273" s="82">
        <v>8.1999999999999993</v>
      </c>
      <c r="H273" s="82">
        <v>10</v>
      </c>
      <c r="I273" s="83">
        <f t="shared" si="8"/>
        <v>82</v>
      </c>
      <c r="J273" s="82">
        <v>144.80000000000001</v>
      </c>
      <c r="K273" s="84">
        <v>26064</v>
      </c>
      <c r="L273" s="82">
        <v>0</v>
      </c>
      <c r="M273" s="82" t="s">
        <v>309</v>
      </c>
      <c r="N273" s="82">
        <v>2.2999999999999998</v>
      </c>
      <c r="O273" s="82">
        <f t="shared" si="9"/>
        <v>63.14</v>
      </c>
    </row>
    <row r="274" spans="1:15" ht="15" customHeight="1" x14ac:dyDescent="0.25">
      <c r="A274" s="82" t="s">
        <v>645</v>
      </c>
      <c r="B274" s="82" t="s">
        <v>386</v>
      </c>
      <c r="C274" s="82" t="s">
        <v>361</v>
      </c>
      <c r="D274" s="82" t="s">
        <v>119</v>
      </c>
      <c r="E274" s="82" t="s">
        <v>384</v>
      </c>
      <c r="F274" s="82" t="s">
        <v>326</v>
      </c>
      <c r="G274" s="82">
        <v>4.8</v>
      </c>
      <c r="H274" s="82">
        <v>11</v>
      </c>
      <c r="I274" s="83">
        <f t="shared" si="8"/>
        <v>43.636363636363633</v>
      </c>
      <c r="J274" s="82">
        <v>41.6</v>
      </c>
      <c r="K274" s="84">
        <v>7488</v>
      </c>
      <c r="L274" s="82">
        <v>0</v>
      </c>
      <c r="M274" s="82" t="s">
        <v>343</v>
      </c>
      <c r="N274" s="82">
        <v>2</v>
      </c>
      <c r="O274" s="82">
        <f t="shared" si="9"/>
        <v>35.70247933884297</v>
      </c>
    </row>
    <row r="275" spans="1:15" ht="15" customHeight="1" x14ac:dyDescent="0.25">
      <c r="A275" s="82" t="s">
        <v>646</v>
      </c>
      <c r="B275" s="82" t="s">
        <v>371</v>
      </c>
      <c r="C275" s="82" t="s">
        <v>322</v>
      </c>
      <c r="D275" s="82" t="s">
        <v>62</v>
      </c>
      <c r="E275" s="82" t="s">
        <v>379</v>
      </c>
      <c r="F275" s="82" t="s">
        <v>315</v>
      </c>
      <c r="G275" s="82">
        <v>8.3000000000000007</v>
      </c>
      <c r="H275" s="82">
        <v>12</v>
      </c>
      <c r="I275" s="83">
        <f t="shared" si="8"/>
        <v>69.166666666666671</v>
      </c>
      <c r="J275" s="82">
        <v>124.6</v>
      </c>
      <c r="K275" s="84">
        <v>22428</v>
      </c>
      <c r="L275" s="82">
        <v>0</v>
      </c>
      <c r="M275" s="82" t="s">
        <v>327</v>
      </c>
      <c r="N275" s="82">
        <v>1.2</v>
      </c>
      <c r="O275" s="82">
        <f t="shared" si="9"/>
        <v>62.250000000000007</v>
      </c>
    </row>
    <row r="276" spans="1:15" ht="15" customHeight="1" x14ac:dyDescent="0.25">
      <c r="A276" s="82" t="s">
        <v>647</v>
      </c>
      <c r="B276" s="82" t="s">
        <v>369</v>
      </c>
      <c r="C276" s="82" t="s">
        <v>312</v>
      </c>
      <c r="D276" s="82" t="s">
        <v>313</v>
      </c>
      <c r="E276" s="82" t="s">
        <v>345</v>
      </c>
      <c r="F276" s="82" t="s">
        <v>402</v>
      </c>
      <c r="G276" s="82">
        <v>6.2</v>
      </c>
      <c r="H276" s="82">
        <v>11</v>
      </c>
      <c r="I276" s="83">
        <f t="shared" si="8"/>
        <v>56.36363636363636</v>
      </c>
      <c r="J276" s="82">
        <v>63.2</v>
      </c>
      <c r="K276" s="84">
        <v>11376</v>
      </c>
      <c r="L276" s="82">
        <v>0</v>
      </c>
      <c r="M276" s="82" t="s">
        <v>327</v>
      </c>
      <c r="N276" s="82">
        <v>2.2000000000000002</v>
      </c>
      <c r="O276" s="82">
        <f t="shared" si="9"/>
        <v>45.090909090909093</v>
      </c>
    </row>
    <row r="277" spans="1:15" ht="15" customHeight="1" x14ac:dyDescent="0.25">
      <c r="A277" s="82" t="s">
        <v>648</v>
      </c>
      <c r="B277" s="82" t="s">
        <v>371</v>
      </c>
      <c r="C277" s="82" t="s">
        <v>361</v>
      </c>
      <c r="D277" s="82" t="s">
        <v>119</v>
      </c>
      <c r="E277" s="82" t="s">
        <v>337</v>
      </c>
      <c r="F277" s="82" t="s">
        <v>374</v>
      </c>
      <c r="G277" s="82">
        <v>8.4</v>
      </c>
      <c r="H277" s="82">
        <v>9</v>
      </c>
      <c r="I277" s="83">
        <f t="shared" si="8"/>
        <v>93.333333333333329</v>
      </c>
      <c r="J277" s="82">
        <v>84.6</v>
      </c>
      <c r="K277" s="84">
        <v>15228</v>
      </c>
      <c r="L277" s="82">
        <v>0</v>
      </c>
      <c r="M277" s="82" t="s">
        <v>327</v>
      </c>
      <c r="N277" s="82">
        <v>1.9</v>
      </c>
      <c r="O277" s="82">
        <f t="shared" si="9"/>
        <v>73.629629629629619</v>
      </c>
    </row>
    <row r="278" spans="1:15" ht="15" customHeight="1" x14ac:dyDescent="0.25">
      <c r="A278" s="82" t="s">
        <v>649</v>
      </c>
      <c r="B278" s="82" t="s">
        <v>311</v>
      </c>
      <c r="C278" s="82" t="s">
        <v>312</v>
      </c>
      <c r="D278" s="82" t="s">
        <v>313</v>
      </c>
      <c r="E278" s="82" t="s">
        <v>355</v>
      </c>
      <c r="F278" s="82" t="s">
        <v>454</v>
      </c>
      <c r="G278" s="82">
        <v>8.3000000000000007</v>
      </c>
      <c r="H278" s="82">
        <v>11</v>
      </c>
      <c r="I278" s="83">
        <f t="shared" si="8"/>
        <v>75.454545454545467</v>
      </c>
      <c r="J278" s="82">
        <v>129.80000000000001</v>
      </c>
      <c r="K278" s="84">
        <v>23364</v>
      </c>
      <c r="L278" s="82">
        <v>0</v>
      </c>
      <c r="M278" s="82" t="s">
        <v>327</v>
      </c>
      <c r="N278" s="82">
        <v>1.4</v>
      </c>
      <c r="O278" s="82">
        <f t="shared" si="9"/>
        <v>65.851239669421503</v>
      </c>
    </row>
    <row r="279" spans="1:15" ht="15" customHeight="1" x14ac:dyDescent="0.25">
      <c r="A279" s="82" t="s">
        <v>650</v>
      </c>
      <c r="B279" s="82" t="s">
        <v>321</v>
      </c>
      <c r="C279" s="82" t="s">
        <v>322</v>
      </c>
      <c r="D279" s="82" t="s">
        <v>62</v>
      </c>
      <c r="E279" s="82" t="s">
        <v>325</v>
      </c>
      <c r="F279" s="82" t="s">
        <v>439</v>
      </c>
      <c r="G279" s="82">
        <v>6.9</v>
      </c>
      <c r="H279" s="82">
        <v>10</v>
      </c>
      <c r="I279" s="83">
        <f t="shared" si="8"/>
        <v>69</v>
      </c>
      <c r="J279" s="82">
        <v>123.1</v>
      </c>
      <c r="K279" s="84">
        <v>22158</v>
      </c>
      <c r="L279" s="82">
        <v>1</v>
      </c>
      <c r="M279" s="82" t="s">
        <v>327</v>
      </c>
      <c r="N279" s="82">
        <v>2.1</v>
      </c>
      <c r="O279" s="82">
        <f t="shared" si="9"/>
        <v>54.510000000000005</v>
      </c>
    </row>
    <row r="280" spans="1:15" ht="15" customHeight="1" x14ac:dyDescent="0.25">
      <c r="A280" s="82" t="s">
        <v>651</v>
      </c>
      <c r="B280" s="82" t="s">
        <v>321</v>
      </c>
      <c r="C280" s="82" t="s">
        <v>354</v>
      </c>
      <c r="D280" s="82" t="s">
        <v>96</v>
      </c>
      <c r="E280" s="82" t="s">
        <v>318</v>
      </c>
      <c r="F280" s="82" t="s">
        <v>367</v>
      </c>
      <c r="G280" s="82">
        <v>7.3</v>
      </c>
      <c r="H280" s="82">
        <v>11</v>
      </c>
      <c r="I280" s="83">
        <f t="shared" si="8"/>
        <v>66.36363636363636</v>
      </c>
      <c r="J280" s="82">
        <v>97.9</v>
      </c>
      <c r="K280" s="84">
        <v>17622</v>
      </c>
      <c r="L280" s="82">
        <v>0</v>
      </c>
      <c r="M280" s="82" t="s">
        <v>327</v>
      </c>
      <c r="N280" s="82">
        <v>2.1</v>
      </c>
      <c r="O280" s="82">
        <f t="shared" si="9"/>
        <v>53.694214876033051</v>
      </c>
    </row>
    <row r="281" spans="1:15" ht="15" customHeight="1" x14ac:dyDescent="0.25">
      <c r="A281" s="82" t="s">
        <v>652</v>
      </c>
      <c r="B281" s="82" t="s">
        <v>311</v>
      </c>
      <c r="C281" s="82" t="s">
        <v>361</v>
      </c>
      <c r="D281" s="82" t="s">
        <v>119</v>
      </c>
      <c r="E281" s="82" t="s">
        <v>355</v>
      </c>
      <c r="F281" s="82" t="s">
        <v>347</v>
      </c>
      <c r="G281" s="82">
        <v>7.7</v>
      </c>
      <c r="H281" s="82">
        <v>12</v>
      </c>
      <c r="I281" s="83">
        <f t="shared" si="8"/>
        <v>64.166666666666671</v>
      </c>
      <c r="J281" s="82">
        <v>114.7</v>
      </c>
      <c r="K281" s="84">
        <v>20646</v>
      </c>
      <c r="L281" s="82">
        <v>0</v>
      </c>
      <c r="M281" s="82" t="s">
        <v>327</v>
      </c>
      <c r="N281" s="82">
        <v>1.7</v>
      </c>
      <c r="O281" s="82">
        <f t="shared" si="9"/>
        <v>55.0763888888889</v>
      </c>
    </row>
    <row r="282" spans="1:15" ht="15" customHeight="1" x14ac:dyDescent="0.25">
      <c r="A282" s="82" t="s">
        <v>653</v>
      </c>
      <c r="B282" s="82" t="s">
        <v>369</v>
      </c>
      <c r="C282" s="82" t="s">
        <v>322</v>
      </c>
      <c r="D282" s="82" t="s">
        <v>62</v>
      </c>
      <c r="E282" s="82" t="s">
        <v>372</v>
      </c>
      <c r="F282" s="82" t="s">
        <v>331</v>
      </c>
      <c r="G282" s="82">
        <v>6.7</v>
      </c>
      <c r="H282" s="82">
        <v>9</v>
      </c>
      <c r="I282" s="83">
        <f t="shared" si="8"/>
        <v>74.444444444444443</v>
      </c>
      <c r="J282" s="82">
        <v>69.5</v>
      </c>
      <c r="K282" s="84">
        <v>12510</v>
      </c>
      <c r="L282" s="82">
        <v>0</v>
      </c>
      <c r="M282" s="82" t="s">
        <v>309</v>
      </c>
      <c r="N282" s="82">
        <v>1.1000000000000001</v>
      </c>
      <c r="O282" s="82">
        <f t="shared" si="9"/>
        <v>65.34567901234567</v>
      </c>
    </row>
    <row r="283" spans="1:15" ht="15" customHeight="1" x14ac:dyDescent="0.25">
      <c r="A283" s="82" t="s">
        <v>654</v>
      </c>
      <c r="B283" s="82" t="s">
        <v>386</v>
      </c>
      <c r="C283" s="82" t="s">
        <v>333</v>
      </c>
      <c r="D283" s="82" t="s">
        <v>86</v>
      </c>
      <c r="E283" s="82" t="s">
        <v>337</v>
      </c>
      <c r="F283" s="82" t="s">
        <v>338</v>
      </c>
      <c r="G283" s="82">
        <v>6.2</v>
      </c>
      <c r="H283" s="82">
        <v>10</v>
      </c>
      <c r="I283" s="83">
        <f t="shared" si="8"/>
        <v>62</v>
      </c>
      <c r="J283" s="82">
        <v>74.400000000000006</v>
      </c>
      <c r="K283" s="84">
        <v>13392</v>
      </c>
      <c r="L283" s="82">
        <v>0</v>
      </c>
      <c r="M283" s="82" t="s">
        <v>327</v>
      </c>
      <c r="N283" s="82">
        <v>2.9</v>
      </c>
      <c r="O283" s="82">
        <f t="shared" si="9"/>
        <v>44.019999999999996</v>
      </c>
    </row>
    <row r="284" spans="1:15" ht="15" customHeight="1" x14ac:dyDescent="0.25">
      <c r="A284" s="82" t="s">
        <v>655</v>
      </c>
      <c r="B284" s="82" t="s">
        <v>371</v>
      </c>
      <c r="C284" s="82" t="s">
        <v>312</v>
      </c>
      <c r="D284" s="82" t="s">
        <v>313</v>
      </c>
      <c r="E284" s="82" t="s">
        <v>376</v>
      </c>
      <c r="F284" s="82" t="s">
        <v>374</v>
      </c>
      <c r="G284" s="82">
        <v>7.5</v>
      </c>
      <c r="H284" s="82">
        <v>12</v>
      </c>
      <c r="I284" s="83">
        <f t="shared" si="8"/>
        <v>62.5</v>
      </c>
      <c r="J284" s="82">
        <v>88.6</v>
      </c>
      <c r="K284" s="84">
        <v>15948</v>
      </c>
      <c r="L284" s="82">
        <v>0</v>
      </c>
      <c r="M284" s="82" t="s">
        <v>343</v>
      </c>
      <c r="N284" s="82">
        <v>0.4</v>
      </c>
      <c r="O284" s="82">
        <f t="shared" si="9"/>
        <v>60.416666666666664</v>
      </c>
    </row>
    <row r="285" spans="1:15" ht="15" customHeight="1" x14ac:dyDescent="0.25">
      <c r="A285" s="82" t="s">
        <v>656</v>
      </c>
      <c r="B285" s="82" t="s">
        <v>67</v>
      </c>
      <c r="C285" s="82" t="s">
        <v>354</v>
      </c>
      <c r="D285" s="82" t="s">
        <v>96</v>
      </c>
      <c r="E285" s="82" t="s">
        <v>379</v>
      </c>
      <c r="F285" s="82" t="s">
        <v>406</v>
      </c>
      <c r="G285" s="82">
        <v>9</v>
      </c>
      <c r="H285" s="82">
        <v>9</v>
      </c>
      <c r="I285" s="83">
        <f t="shared" si="8"/>
        <v>100</v>
      </c>
      <c r="J285" s="82">
        <v>148.4</v>
      </c>
      <c r="K285" s="84">
        <v>26712</v>
      </c>
      <c r="L285" s="82">
        <v>0</v>
      </c>
      <c r="M285" s="82" t="s">
        <v>309</v>
      </c>
      <c r="N285" s="82">
        <v>2.4</v>
      </c>
      <c r="O285" s="82">
        <f t="shared" si="9"/>
        <v>73.333333333333343</v>
      </c>
    </row>
    <row r="286" spans="1:15" ht="15" customHeight="1" x14ac:dyDescent="0.25">
      <c r="A286" s="82" t="s">
        <v>657</v>
      </c>
      <c r="B286" s="82" t="s">
        <v>71</v>
      </c>
      <c r="C286" s="82" t="s">
        <v>305</v>
      </c>
      <c r="D286" s="82" t="s">
        <v>306</v>
      </c>
      <c r="E286" s="82" t="s">
        <v>345</v>
      </c>
      <c r="F286" s="82" t="s">
        <v>439</v>
      </c>
      <c r="G286" s="82">
        <v>5.6</v>
      </c>
      <c r="H286" s="82">
        <v>8</v>
      </c>
      <c r="I286" s="83">
        <f t="shared" si="8"/>
        <v>70</v>
      </c>
      <c r="J286" s="82">
        <v>83.5</v>
      </c>
      <c r="K286" s="84">
        <v>15030</v>
      </c>
      <c r="L286" s="82">
        <v>0</v>
      </c>
      <c r="M286" s="82" t="s">
        <v>309</v>
      </c>
      <c r="N286" s="82">
        <v>1.4</v>
      </c>
      <c r="O286" s="82">
        <f t="shared" si="9"/>
        <v>57.75</v>
      </c>
    </row>
    <row r="287" spans="1:15" ht="15" customHeight="1" x14ac:dyDescent="0.25">
      <c r="A287" s="82" t="s">
        <v>658</v>
      </c>
      <c r="B287" s="82" t="s">
        <v>349</v>
      </c>
      <c r="C287" s="82" t="s">
        <v>361</v>
      </c>
      <c r="D287" s="82" t="s">
        <v>119</v>
      </c>
      <c r="E287" s="82" t="s">
        <v>358</v>
      </c>
      <c r="F287" s="82" t="s">
        <v>331</v>
      </c>
      <c r="G287" s="82">
        <v>6.2</v>
      </c>
      <c r="H287" s="82">
        <v>10</v>
      </c>
      <c r="I287" s="83">
        <f t="shared" si="8"/>
        <v>62</v>
      </c>
      <c r="J287" s="82">
        <v>84.2</v>
      </c>
      <c r="K287" s="84">
        <v>15156</v>
      </c>
      <c r="L287" s="82">
        <v>0</v>
      </c>
      <c r="M287" s="82" t="s">
        <v>327</v>
      </c>
      <c r="N287" s="82">
        <v>1.2</v>
      </c>
      <c r="O287" s="82">
        <f t="shared" si="9"/>
        <v>54.56</v>
      </c>
    </row>
    <row r="288" spans="1:15" ht="15" customHeight="1" x14ac:dyDescent="0.25">
      <c r="A288" s="82" t="s">
        <v>659</v>
      </c>
      <c r="B288" s="82" t="s">
        <v>369</v>
      </c>
      <c r="C288" s="82" t="s">
        <v>329</v>
      </c>
      <c r="D288" s="82" t="s">
        <v>330</v>
      </c>
      <c r="E288" s="82" t="s">
        <v>337</v>
      </c>
      <c r="F288" s="82" t="s">
        <v>439</v>
      </c>
      <c r="G288" s="82">
        <v>9.1999999999999993</v>
      </c>
      <c r="H288" s="82">
        <v>12</v>
      </c>
      <c r="I288" s="83">
        <f t="shared" si="8"/>
        <v>76.666666666666657</v>
      </c>
      <c r="J288" s="82">
        <v>123.1</v>
      </c>
      <c r="K288" s="84">
        <v>22158</v>
      </c>
      <c r="L288" s="82">
        <v>2</v>
      </c>
      <c r="M288" s="82" t="s">
        <v>327</v>
      </c>
      <c r="N288" s="82">
        <v>2.6</v>
      </c>
      <c r="O288" s="82">
        <f t="shared" si="9"/>
        <v>60.05555555555555</v>
      </c>
    </row>
    <row r="289" spans="1:15" ht="15" customHeight="1" x14ac:dyDescent="0.25">
      <c r="A289" s="82" t="s">
        <v>660</v>
      </c>
      <c r="B289" s="82" t="s">
        <v>304</v>
      </c>
      <c r="C289" s="82" t="s">
        <v>361</v>
      </c>
      <c r="D289" s="82" t="s">
        <v>119</v>
      </c>
      <c r="E289" s="82" t="s">
        <v>351</v>
      </c>
      <c r="F289" s="82" t="s">
        <v>454</v>
      </c>
      <c r="G289" s="82">
        <v>8.3000000000000007</v>
      </c>
      <c r="H289" s="82">
        <v>11</v>
      </c>
      <c r="I289" s="83">
        <f t="shared" si="8"/>
        <v>75.454545454545467</v>
      </c>
      <c r="J289" s="82">
        <v>104.9</v>
      </c>
      <c r="K289" s="84">
        <v>18882</v>
      </c>
      <c r="L289" s="82">
        <v>1</v>
      </c>
      <c r="M289" s="82" t="s">
        <v>309</v>
      </c>
      <c r="N289" s="82">
        <v>4.2</v>
      </c>
      <c r="O289" s="82">
        <f t="shared" si="9"/>
        <v>46.644628099173559</v>
      </c>
    </row>
    <row r="290" spans="1:15" ht="15" customHeight="1" x14ac:dyDescent="0.25">
      <c r="A290" s="82" t="s">
        <v>661</v>
      </c>
      <c r="B290" s="82" t="s">
        <v>369</v>
      </c>
      <c r="C290" s="82" t="s">
        <v>333</v>
      </c>
      <c r="D290" s="82" t="s">
        <v>86</v>
      </c>
      <c r="E290" s="82" t="s">
        <v>372</v>
      </c>
      <c r="F290" s="82" t="s">
        <v>439</v>
      </c>
      <c r="G290" s="82">
        <v>9.9</v>
      </c>
      <c r="H290" s="82">
        <v>11</v>
      </c>
      <c r="I290" s="83">
        <f t="shared" si="8"/>
        <v>90</v>
      </c>
      <c r="J290" s="82">
        <v>86.3</v>
      </c>
      <c r="K290" s="84">
        <v>15534</v>
      </c>
      <c r="L290" s="82">
        <v>0</v>
      </c>
      <c r="M290" s="82" t="s">
        <v>327</v>
      </c>
      <c r="N290" s="82">
        <v>1</v>
      </c>
      <c r="O290" s="82">
        <f t="shared" si="9"/>
        <v>81.818181818181813</v>
      </c>
    </row>
    <row r="291" spans="1:15" ht="15" customHeight="1" x14ac:dyDescent="0.25">
      <c r="A291" s="82" t="s">
        <v>662</v>
      </c>
      <c r="B291" s="82" t="s">
        <v>71</v>
      </c>
      <c r="C291" s="82" t="s">
        <v>305</v>
      </c>
      <c r="D291" s="82" t="s">
        <v>306</v>
      </c>
      <c r="E291" s="82" t="s">
        <v>372</v>
      </c>
      <c r="F291" s="82" t="s">
        <v>352</v>
      </c>
      <c r="G291" s="82">
        <v>5.9</v>
      </c>
      <c r="H291" s="82">
        <v>11</v>
      </c>
      <c r="I291" s="83">
        <f t="shared" si="8"/>
        <v>53.63636363636364</v>
      </c>
      <c r="J291" s="82">
        <v>73.400000000000006</v>
      </c>
      <c r="K291" s="84">
        <v>13212</v>
      </c>
      <c r="L291" s="82">
        <v>0</v>
      </c>
      <c r="M291" s="82" t="s">
        <v>327</v>
      </c>
      <c r="N291" s="82">
        <v>1.8</v>
      </c>
      <c r="O291" s="82">
        <f t="shared" si="9"/>
        <v>44.859504132231415</v>
      </c>
    </row>
    <row r="292" spans="1:15" ht="15" customHeight="1" x14ac:dyDescent="0.25">
      <c r="A292" s="82" t="s">
        <v>663</v>
      </c>
      <c r="B292" s="82" t="s">
        <v>386</v>
      </c>
      <c r="C292" s="82" t="s">
        <v>333</v>
      </c>
      <c r="D292" s="82" t="s">
        <v>86</v>
      </c>
      <c r="E292" s="82" t="s">
        <v>323</v>
      </c>
      <c r="F292" s="82" t="s">
        <v>402</v>
      </c>
      <c r="G292" s="82">
        <v>4.5</v>
      </c>
      <c r="H292" s="82">
        <v>8</v>
      </c>
      <c r="I292" s="83">
        <f t="shared" si="8"/>
        <v>56.25</v>
      </c>
      <c r="J292" s="82">
        <v>46.6</v>
      </c>
      <c r="K292" s="84">
        <v>8388</v>
      </c>
      <c r="L292" s="82">
        <v>0</v>
      </c>
      <c r="M292" s="82" t="s">
        <v>309</v>
      </c>
      <c r="N292" s="82">
        <v>2.2000000000000002</v>
      </c>
      <c r="O292" s="82">
        <f t="shared" si="9"/>
        <v>40.78125</v>
      </c>
    </row>
    <row r="293" spans="1:15" ht="15" customHeight="1" x14ac:dyDescent="0.25">
      <c r="A293" s="82" t="s">
        <v>664</v>
      </c>
      <c r="B293" s="82" t="s">
        <v>371</v>
      </c>
      <c r="C293" s="82" t="s">
        <v>354</v>
      </c>
      <c r="D293" s="82" t="s">
        <v>96</v>
      </c>
      <c r="E293" s="82" t="s">
        <v>314</v>
      </c>
      <c r="F293" s="82" t="s">
        <v>427</v>
      </c>
      <c r="G293" s="82">
        <v>4.3</v>
      </c>
      <c r="H293" s="82">
        <v>8</v>
      </c>
      <c r="I293" s="83">
        <f t="shared" si="8"/>
        <v>53.75</v>
      </c>
      <c r="J293" s="82">
        <v>72.2</v>
      </c>
      <c r="K293" s="84">
        <v>12996</v>
      </c>
      <c r="L293" s="82">
        <v>0</v>
      </c>
      <c r="M293" s="82" t="s">
        <v>327</v>
      </c>
      <c r="N293" s="82">
        <v>1.2</v>
      </c>
      <c r="O293" s="82">
        <f t="shared" si="9"/>
        <v>45.6875</v>
      </c>
    </row>
    <row r="294" spans="1:15" ht="15" customHeight="1" x14ac:dyDescent="0.25">
      <c r="A294" s="82" t="s">
        <v>665</v>
      </c>
      <c r="B294" s="82" t="s">
        <v>349</v>
      </c>
      <c r="C294" s="82" t="s">
        <v>312</v>
      </c>
      <c r="D294" s="82" t="s">
        <v>313</v>
      </c>
      <c r="E294" s="82" t="s">
        <v>376</v>
      </c>
      <c r="F294" s="82" t="s">
        <v>356</v>
      </c>
      <c r="G294" s="82">
        <v>4.4000000000000004</v>
      </c>
      <c r="H294" s="82">
        <v>9</v>
      </c>
      <c r="I294" s="83">
        <f t="shared" si="8"/>
        <v>48.888888888888893</v>
      </c>
      <c r="J294" s="82">
        <v>76.2</v>
      </c>
      <c r="K294" s="84">
        <v>13716</v>
      </c>
      <c r="L294" s="82">
        <v>0</v>
      </c>
      <c r="M294" s="82" t="s">
        <v>327</v>
      </c>
      <c r="N294" s="82">
        <v>2.2000000000000002</v>
      </c>
      <c r="O294" s="82">
        <f t="shared" si="9"/>
        <v>36.938271604938272</v>
      </c>
    </row>
    <row r="295" spans="1:15" ht="15" customHeight="1" x14ac:dyDescent="0.25">
      <c r="A295" s="82" t="s">
        <v>666</v>
      </c>
      <c r="B295" s="82" t="s">
        <v>386</v>
      </c>
      <c r="C295" s="82" t="s">
        <v>354</v>
      </c>
      <c r="D295" s="82" t="s">
        <v>96</v>
      </c>
      <c r="E295" s="82" t="s">
        <v>334</v>
      </c>
      <c r="F295" s="82" t="s">
        <v>367</v>
      </c>
      <c r="G295" s="82">
        <v>4.0999999999999996</v>
      </c>
      <c r="H295" s="82">
        <v>9</v>
      </c>
      <c r="I295" s="83">
        <f t="shared" si="8"/>
        <v>45.55555555555555</v>
      </c>
      <c r="J295" s="82">
        <v>60</v>
      </c>
      <c r="K295" s="84">
        <v>10800</v>
      </c>
      <c r="L295" s="82">
        <v>0</v>
      </c>
      <c r="M295" s="82" t="s">
        <v>327</v>
      </c>
      <c r="N295" s="82">
        <v>1.4</v>
      </c>
      <c r="O295" s="82">
        <f t="shared" si="9"/>
        <v>38.469135802469133</v>
      </c>
    </row>
    <row r="296" spans="1:15" ht="15" customHeight="1" x14ac:dyDescent="0.25">
      <c r="A296" s="82" t="s">
        <v>667</v>
      </c>
      <c r="B296" s="82" t="s">
        <v>304</v>
      </c>
      <c r="C296" s="82" t="s">
        <v>305</v>
      </c>
      <c r="D296" s="82" t="s">
        <v>306</v>
      </c>
      <c r="E296" s="82" t="s">
        <v>345</v>
      </c>
      <c r="F296" s="82" t="s">
        <v>382</v>
      </c>
      <c r="G296" s="82">
        <v>8.8000000000000007</v>
      </c>
      <c r="H296" s="82">
        <v>9</v>
      </c>
      <c r="I296" s="83">
        <f t="shared" si="8"/>
        <v>97.777777777777786</v>
      </c>
      <c r="J296" s="82">
        <v>131.80000000000001</v>
      </c>
      <c r="K296" s="84">
        <v>23724</v>
      </c>
      <c r="L296" s="82">
        <v>0</v>
      </c>
      <c r="M296" s="82" t="s">
        <v>327</v>
      </c>
      <c r="N296" s="82">
        <v>1.9</v>
      </c>
      <c r="O296" s="82">
        <f t="shared" si="9"/>
        <v>77.135802469135811</v>
      </c>
    </row>
    <row r="297" spans="1:15" ht="15" customHeight="1" x14ac:dyDescent="0.25">
      <c r="A297" s="82" t="s">
        <v>668</v>
      </c>
      <c r="B297" s="82" t="s">
        <v>321</v>
      </c>
      <c r="C297" s="82" t="s">
        <v>333</v>
      </c>
      <c r="D297" s="82" t="s">
        <v>86</v>
      </c>
      <c r="E297" s="82" t="s">
        <v>381</v>
      </c>
      <c r="F297" s="82" t="s">
        <v>352</v>
      </c>
      <c r="G297" s="82">
        <v>6.5</v>
      </c>
      <c r="H297" s="82">
        <v>12</v>
      </c>
      <c r="I297" s="83">
        <f t="shared" si="8"/>
        <v>54.166666666666664</v>
      </c>
      <c r="J297" s="82">
        <v>74.599999999999994</v>
      </c>
      <c r="K297" s="84">
        <v>13428</v>
      </c>
      <c r="L297" s="82">
        <v>0</v>
      </c>
      <c r="M297" s="82" t="s">
        <v>309</v>
      </c>
      <c r="N297" s="82">
        <v>1.3</v>
      </c>
      <c r="O297" s="82">
        <f t="shared" si="9"/>
        <v>48.298611111111107</v>
      </c>
    </row>
    <row r="298" spans="1:15" ht="15" customHeight="1" x14ac:dyDescent="0.25">
      <c r="A298" s="82" t="s">
        <v>669</v>
      </c>
      <c r="B298" s="82" t="s">
        <v>369</v>
      </c>
      <c r="C298" s="82" t="s">
        <v>333</v>
      </c>
      <c r="D298" s="82" t="s">
        <v>86</v>
      </c>
      <c r="E298" s="82" t="s">
        <v>376</v>
      </c>
      <c r="F298" s="82" t="s">
        <v>319</v>
      </c>
      <c r="G298" s="82">
        <v>4.0999999999999996</v>
      </c>
      <c r="H298" s="82">
        <v>10</v>
      </c>
      <c r="I298" s="83">
        <f t="shared" si="8"/>
        <v>41</v>
      </c>
      <c r="J298" s="82">
        <v>54.3</v>
      </c>
      <c r="K298" s="84">
        <v>9774</v>
      </c>
      <c r="L298" s="82">
        <v>0</v>
      </c>
      <c r="M298" s="82" t="s">
        <v>327</v>
      </c>
      <c r="N298" s="82">
        <v>0.9</v>
      </c>
      <c r="O298" s="82">
        <f t="shared" si="9"/>
        <v>37.31</v>
      </c>
    </row>
    <row r="299" spans="1:15" ht="15" customHeight="1" x14ac:dyDescent="0.25">
      <c r="A299" s="82" t="s">
        <v>670</v>
      </c>
      <c r="B299" s="82" t="s">
        <v>304</v>
      </c>
      <c r="C299" s="82" t="s">
        <v>317</v>
      </c>
      <c r="D299" s="82" t="s">
        <v>51</v>
      </c>
      <c r="E299" s="82" t="s">
        <v>325</v>
      </c>
      <c r="F299" s="82" t="s">
        <v>406</v>
      </c>
      <c r="G299" s="82">
        <v>4.0999999999999996</v>
      </c>
      <c r="H299" s="82">
        <v>10</v>
      </c>
      <c r="I299" s="83">
        <f t="shared" si="8"/>
        <v>41</v>
      </c>
      <c r="J299" s="82">
        <v>50.4</v>
      </c>
      <c r="K299" s="84">
        <v>9072</v>
      </c>
      <c r="L299" s="82">
        <v>0</v>
      </c>
      <c r="M299" s="82" t="s">
        <v>327</v>
      </c>
      <c r="N299" s="82">
        <v>0</v>
      </c>
      <c r="O299" s="82">
        <f t="shared" si="9"/>
        <v>41</v>
      </c>
    </row>
    <row r="300" spans="1:15" ht="15" customHeight="1" x14ac:dyDescent="0.25">
      <c r="A300" s="82" t="s">
        <v>671</v>
      </c>
      <c r="B300" s="82" t="s">
        <v>369</v>
      </c>
      <c r="C300" s="82" t="s">
        <v>363</v>
      </c>
      <c r="D300" s="82" t="s">
        <v>103</v>
      </c>
      <c r="E300" s="82" t="s">
        <v>379</v>
      </c>
      <c r="F300" s="82" t="s">
        <v>342</v>
      </c>
      <c r="G300" s="82">
        <v>6.8</v>
      </c>
      <c r="H300" s="82">
        <v>11</v>
      </c>
      <c r="I300" s="83">
        <f t="shared" si="8"/>
        <v>61.818181818181813</v>
      </c>
      <c r="J300" s="82">
        <v>65.5</v>
      </c>
      <c r="K300" s="84">
        <v>11790</v>
      </c>
      <c r="L300" s="82">
        <v>0</v>
      </c>
      <c r="M300" s="82" t="s">
        <v>327</v>
      </c>
      <c r="N300" s="82">
        <v>1.1000000000000001</v>
      </c>
      <c r="O300" s="82">
        <f t="shared" si="9"/>
        <v>55.636363636363633</v>
      </c>
    </row>
    <row r="301" spans="1:15" ht="15" customHeight="1" x14ac:dyDescent="0.25">
      <c r="A301" s="82" t="s">
        <v>672</v>
      </c>
      <c r="B301" s="82" t="s">
        <v>71</v>
      </c>
      <c r="C301" s="82" t="s">
        <v>312</v>
      </c>
      <c r="D301" s="82" t="s">
        <v>313</v>
      </c>
      <c r="E301" s="82" t="s">
        <v>379</v>
      </c>
      <c r="F301" s="82" t="s">
        <v>352</v>
      </c>
      <c r="G301" s="82">
        <v>6.6</v>
      </c>
      <c r="H301" s="82">
        <v>9</v>
      </c>
      <c r="I301" s="83">
        <f t="shared" si="8"/>
        <v>73.333333333333329</v>
      </c>
      <c r="J301" s="82">
        <v>105.6</v>
      </c>
      <c r="K301" s="84">
        <v>19008</v>
      </c>
      <c r="L301" s="82">
        <v>0</v>
      </c>
      <c r="M301" s="82" t="s">
        <v>309</v>
      </c>
      <c r="N301" s="82">
        <v>0.8</v>
      </c>
      <c r="O301" s="82">
        <f t="shared" si="9"/>
        <v>66.81481481481481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1"/>
  <sheetViews>
    <sheetView showGridLines="0" zoomScaleNormal="100" workbookViewId="0">
      <pane ySplit="1" topLeftCell="A3" activePane="bottomLeft" state="frozen"/>
      <selection pane="bottomLeft" activeCell="F110" sqref="F110"/>
    </sheetView>
  </sheetViews>
  <sheetFormatPr defaultColWidth="8.7109375" defaultRowHeight="15" x14ac:dyDescent="0.25"/>
  <cols>
    <col min="1" max="1" width="11" style="81" customWidth="1"/>
    <col min="2" max="2" width="20" style="81" customWidth="1"/>
    <col min="3" max="3" width="14" style="81" customWidth="1"/>
    <col min="4" max="4" width="20" style="81" customWidth="1"/>
    <col min="5" max="5" width="12" style="81" customWidth="1"/>
    <col min="6" max="6" width="14" style="81" customWidth="1"/>
    <col min="7" max="8" width="13" style="81" customWidth="1"/>
    <col min="9" max="9" width="11" style="81" customWidth="1"/>
    <col min="10" max="10" width="10" style="81" customWidth="1"/>
    <col min="11" max="12" width="14" style="81" customWidth="1"/>
    <col min="13" max="13" width="12" style="81" customWidth="1"/>
    <col min="14" max="14" width="13" style="81" customWidth="1"/>
    <col min="15" max="15" width="10" style="81" customWidth="1"/>
    <col min="16" max="16384" width="8.7109375" style="81"/>
  </cols>
  <sheetData>
    <row r="1" spans="1:15" ht="36" customHeight="1" thickBot="1" x14ac:dyDescent="0.3">
      <c r="A1" s="86" t="s">
        <v>673</v>
      </c>
      <c r="B1" s="86" t="s">
        <v>674</v>
      </c>
      <c r="C1" s="86" t="s">
        <v>675</v>
      </c>
      <c r="D1" s="86" t="s">
        <v>676</v>
      </c>
      <c r="E1" s="86" t="s">
        <v>677</v>
      </c>
      <c r="F1" s="86" t="s">
        <v>678</v>
      </c>
      <c r="G1" s="86" t="s">
        <v>679</v>
      </c>
      <c r="H1" s="86" t="s">
        <v>680</v>
      </c>
      <c r="I1" s="86" t="s">
        <v>681</v>
      </c>
      <c r="J1" s="86" t="s">
        <v>682</v>
      </c>
      <c r="K1" s="86" t="s">
        <v>683</v>
      </c>
      <c r="L1" s="86" t="s">
        <v>684</v>
      </c>
      <c r="M1" s="86" t="s">
        <v>45</v>
      </c>
      <c r="N1" s="86" t="s">
        <v>685</v>
      </c>
      <c r="O1" s="86" t="s">
        <v>686</v>
      </c>
    </row>
    <row r="2" spans="1:15" ht="15" customHeight="1" x14ac:dyDescent="0.25">
      <c r="A2" s="87" t="s">
        <v>687</v>
      </c>
      <c r="B2" s="88" t="s">
        <v>688</v>
      </c>
      <c r="C2" s="88" t="s">
        <v>68</v>
      </c>
      <c r="D2" s="88" t="s">
        <v>689</v>
      </c>
      <c r="E2" s="88" t="s">
        <v>690</v>
      </c>
      <c r="F2" s="88" t="s">
        <v>691</v>
      </c>
      <c r="G2" s="88"/>
      <c r="H2" s="88">
        <v>20</v>
      </c>
      <c r="I2" s="88">
        <v>0</v>
      </c>
      <c r="J2" s="88">
        <v>56</v>
      </c>
      <c r="K2" s="89">
        <v>48781</v>
      </c>
      <c r="L2" s="89">
        <f t="shared" ref="L2:L65" si="0">J2*K2</f>
        <v>2731736</v>
      </c>
      <c r="M2" s="88" t="s">
        <v>692</v>
      </c>
      <c r="N2" s="88" t="s">
        <v>693</v>
      </c>
      <c r="O2" s="90" t="s">
        <v>694</v>
      </c>
    </row>
    <row r="3" spans="1:15" ht="15" customHeight="1" x14ac:dyDescent="0.25">
      <c r="A3" s="91" t="s">
        <v>695</v>
      </c>
      <c r="B3" s="92" t="s">
        <v>696</v>
      </c>
      <c r="C3" s="92" t="s">
        <v>96</v>
      </c>
      <c r="D3" s="92" t="s">
        <v>697</v>
      </c>
      <c r="E3" s="92" t="s">
        <v>698</v>
      </c>
      <c r="F3" s="92" t="s">
        <v>699</v>
      </c>
      <c r="G3" s="92"/>
      <c r="H3" s="92">
        <v>45</v>
      </c>
      <c r="I3" s="92">
        <v>12</v>
      </c>
      <c r="J3" s="92">
        <v>219</v>
      </c>
      <c r="K3" s="93">
        <v>51947</v>
      </c>
      <c r="L3" s="93">
        <f t="shared" si="0"/>
        <v>11376393</v>
      </c>
      <c r="M3" s="94" t="s">
        <v>700</v>
      </c>
      <c r="N3" s="92" t="s">
        <v>701</v>
      </c>
      <c r="O3" s="95" t="s">
        <v>694</v>
      </c>
    </row>
    <row r="4" spans="1:15" ht="15" customHeight="1" x14ac:dyDescent="0.25">
      <c r="A4" s="91" t="s">
        <v>702</v>
      </c>
      <c r="B4" s="92" t="s">
        <v>703</v>
      </c>
      <c r="C4" s="92" t="s">
        <v>704</v>
      </c>
      <c r="D4" s="92" t="s">
        <v>705</v>
      </c>
      <c r="E4" s="92" t="s">
        <v>706</v>
      </c>
      <c r="F4" s="92" t="s">
        <v>707</v>
      </c>
      <c r="G4" s="92"/>
      <c r="H4" s="92">
        <v>15</v>
      </c>
      <c r="I4" s="92">
        <v>0</v>
      </c>
      <c r="J4" s="92">
        <v>255</v>
      </c>
      <c r="K4" s="93">
        <v>44415</v>
      </c>
      <c r="L4" s="93">
        <f t="shared" si="0"/>
        <v>11325825</v>
      </c>
      <c r="M4" s="92" t="s">
        <v>692</v>
      </c>
      <c r="N4" s="92" t="s">
        <v>708</v>
      </c>
      <c r="O4" s="95" t="s">
        <v>694</v>
      </c>
    </row>
    <row r="5" spans="1:15" ht="15" customHeight="1" x14ac:dyDescent="0.25">
      <c r="A5" s="91" t="s">
        <v>709</v>
      </c>
      <c r="B5" s="92" t="s">
        <v>710</v>
      </c>
      <c r="C5" s="92" t="s">
        <v>96</v>
      </c>
      <c r="D5" s="92" t="s">
        <v>711</v>
      </c>
      <c r="E5" s="92" t="s">
        <v>712</v>
      </c>
      <c r="F5" s="92" t="s">
        <v>713</v>
      </c>
      <c r="G5" s="92"/>
      <c r="H5" s="92">
        <v>21</v>
      </c>
      <c r="I5" s="92">
        <v>0</v>
      </c>
      <c r="J5" s="92">
        <v>100</v>
      </c>
      <c r="K5" s="93">
        <v>634</v>
      </c>
      <c r="L5" s="93">
        <f t="shared" si="0"/>
        <v>63400</v>
      </c>
      <c r="M5" s="92" t="s">
        <v>692</v>
      </c>
      <c r="N5" s="92" t="s">
        <v>714</v>
      </c>
      <c r="O5" s="95" t="s">
        <v>694</v>
      </c>
    </row>
    <row r="6" spans="1:15" ht="15" customHeight="1" x14ac:dyDescent="0.25">
      <c r="A6" s="91" t="s">
        <v>715</v>
      </c>
      <c r="B6" s="92" t="s">
        <v>710</v>
      </c>
      <c r="C6" s="92" t="s">
        <v>96</v>
      </c>
      <c r="D6" s="92" t="s">
        <v>716</v>
      </c>
      <c r="E6" s="92" t="s">
        <v>717</v>
      </c>
      <c r="F6" s="92" t="s">
        <v>718</v>
      </c>
      <c r="G6" s="92"/>
      <c r="H6" s="92">
        <v>20</v>
      </c>
      <c r="I6" s="92">
        <v>0</v>
      </c>
      <c r="J6" s="92">
        <v>213</v>
      </c>
      <c r="K6" s="93">
        <v>35486</v>
      </c>
      <c r="L6" s="93">
        <f t="shared" si="0"/>
        <v>7558518</v>
      </c>
      <c r="M6" s="92" t="s">
        <v>692</v>
      </c>
      <c r="N6" s="92" t="s">
        <v>701</v>
      </c>
      <c r="O6" s="95" t="s">
        <v>694</v>
      </c>
    </row>
    <row r="7" spans="1:15" ht="15" customHeight="1" x14ac:dyDescent="0.25">
      <c r="A7" s="91" t="s">
        <v>719</v>
      </c>
      <c r="B7" s="92" t="s">
        <v>720</v>
      </c>
      <c r="C7" s="92" t="s">
        <v>103</v>
      </c>
      <c r="D7" s="92" t="s">
        <v>689</v>
      </c>
      <c r="E7" s="92" t="s">
        <v>721</v>
      </c>
      <c r="F7" s="92" t="s">
        <v>722</v>
      </c>
      <c r="G7" s="92"/>
      <c r="H7" s="92">
        <v>7</v>
      </c>
      <c r="I7" s="92">
        <v>0</v>
      </c>
      <c r="J7" s="92">
        <v>354</v>
      </c>
      <c r="K7" s="93">
        <v>24297</v>
      </c>
      <c r="L7" s="93">
        <f t="shared" si="0"/>
        <v>8601138</v>
      </c>
      <c r="M7" s="92" t="s">
        <v>692</v>
      </c>
      <c r="N7" s="92" t="s">
        <v>714</v>
      </c>
      <c r="O7" s="95" t="s">
        <v>694</v>
      </c>
    </row>
    <row r="8" spans="1:15" ht="15" customHeight="1" x14ac:dyDescent="0.25">
      <c r="A8" s="91" t="s">
        <v>723</v>
      </c>
      <c r="B8" s="92" t="s">
        <v>703</v>
      </c>
      <c r="C8" s="92" t="s">
        <v>704</v>
      </c>
      <c r="D8" s="92" t="s">
        <v>724</v>
      </c>
      <c r="E8" s="92" t="s">
        <v>725</v>
      </c>
      <c r="F8" s="92" t="s">
        <v>726</v>
      </c>
      <c r="G8" s="92" t="s">
        <v>726</v>
      </c>
      <c r="H8" s="92">
        <v>39</v>
      </c>
      <c r="I8" s="92">
        <v>0</v>
      </c>
      <c r="J8" s="92">
        <v>352</v>
      </c>
      <c r="K8" s="93">
        <v>28662</v>
      </c>
      <c r="L8" s="93">
        <f t="shared" si="0"/>
        <v>10089024</v>
      </c>
      <c r="M8" s="94" t="s">
        <v>727</v>
      </c>
      <c r="N8" s="92" t="s">
        <v>708</v>
      </c>
      <c r="O8" s="96" t="s">
        <v>728</v>
      </c>
    </row>
    <row r="9" spans="1:15" ht="15" customHeight="1" x14ac:dyDescent="0.25">
      <c r="A9" s="91" t="s">
        <v>729</v>
      </c>
      <c r="B9" s="92" t="s">
        <v>730</v>
      </c>
      <c r="C9" s="92" t="s">
        <v>131</v>
      </c>
      <c r="D9" s="92" t="s">
        <v>731</v>
      </c>
      <c r="E9" s="92" t="s">
        <v>732</v>
      </c>
      <c r="F9" s="92" t="s">
        <v>733</v>
      </c>
      <c r="G9" s="92" t="s">
        <v>733</v>
      </c>
      <c r="H9" s="92">
        <v>18</v>
      </c>
      <c r="I9" s="92">
        <v>0</v>
      </c>
      <c r="J9" s="92">
        <v>345</v>
      </c>
      <c r="K9" s="93">
        <v>40985</v>
      </c>
      <c r="L9" s="93">
        <f t="shared" si="0"/>
        <v>14139825</v>
      </c>
      <c r="M9" s="94" t="s">
        <v>727</v>
      </c>
      <c r="N9" s="92" t="s">
        <v>708</v>
      </c>
      <c r="O9" s="96" t="s">
        <v>728</v>
      </c>
    </row>
    <row r="10" spans="1:15" ht="15" customHeight="1" x14ac:dyDescent="0.25">
      <c r="A10" s="91" t="s">
        <v>734</v>
      </c>
      <c r="B10" s="92" t="s">
        <v>735</v>
      </c>
      <c r="C10" s="92" t="s">
        <v>51</v>
      </c>
      <c r="D10" s="92" t="s">
        <v>711</v>
      </c>
      <c r="E10" s="92" t="s">
        <v>736</v>
      </c>
      <c r="F10" s="92" t="s">
        <v>737</v>
      </c>
      <c r="G10" s="92" t="s">
        <v>737</v>
      </c>
      <c r="H10" s="92">
        <v>37</v>
      </c>
      <c r="I10" s="92">
        <v>0</v>
      </c>
      <c r="J10" s="92">
        <v>275</v>
      </c>
      <c r="K10" s="93">
        <v>76206</v>
      </c>
      <c r="L10" s="93">
        <f t="shared" si="0"/>
        <v>20956650</v>
      </c>
      <c r="M10" s="94" t="s">
        <v>727</v>
      </c>
      <c r="N10" s="92" t="s">
        <v>708</v>
      </c>
      <c r="O10" s="96" t="s">
        <v>728</v>
      </c>
    </row>
    <row r="11" spans="1:15" ht="15" customHeight="1" x14ac:dyDescent="0.25">
      <c r="A11" s="91" t="s">
        <v>738</v>
      </c>
      <c r="B11" s="92" t="s">
        <v>739</v>
      </c>
      <c r="C11" s="92" t="s">
        <v>51</v>
      </c>
      <c r="D11" s="92" t="s">
        <v>731</v>
      </c>
      <c r="E11" s="92" t="s">
        <v>740</v>
      </c>
      <c r="F11" s="92" t="s">
        <v>741</v>
      </c>
      <c r="G11" s="92" t="s">
        <v>741</v>
      </c>
      <c r="H11" s="92">
        <v>40</v>
      </c>
      <c r="I11" s="92">
        <v>0</v>
      </c>
      <c r="J11" s="92">
        <v>285</v>
      </c>
      <c r="K11" s="93">
        <v>45782</v>
      </c>
      <c r="L11" s="93">
        <f t="shared" si="0"/>
        <v>13047870</v>
      </c>
      <c r="M11" s="94" t="s">
        <v>727</v>
      </c>
      <c r="N11" s="92" t="s">
        <v>742</v>
      </c>
      <c r="O11" s="96" t="s">
        <v>728</v>
      </c>
    </row>
    <row r="12" spans="1:15" ht="15" customHeight="1" x14ac:dyDescent="0.25">
      <c r="A12" s="91" t="s">
        <v>743</v>
      </c>
      <c r="B12" s="92" t="s">
        <v>730</v>
      </c>
      <c r="C12" s="92" t="s">
        <v>131</v>
      </c>
      <c r="D12" s="92" t="s">
        <v>705</v>
      </c>
      <c r="E12" s="92" t="s">
        <v>744</v>
      </c>
      <c r="F12" s="92" t="s">
        <v>745</v>
      </c>
      <c r="G12" s="92" t="s">
        <v>745</v>
      </c>
      <c r="H12" s="92">
        <v>29</v>
      </c>
      <c r="I12" s="92">
        <v>0</v>
      </c>
      <c r="J12" s="92">
        <v>16</v>
      </c>
      <c r="K12" s="93">
        <v>29158</v>
      </c>
      <c r="L12" s="93">
        <f t="shared" si="0"/>
        <v>466528</v>
      </c>
      <c r="M12" s="94" t="s">
        <v>727</v>
      </c>
      <c r="N12" s="92" t="s">
        <v>708</v>
      </c>
      <c r="O12" s="96" t="s">
        <v>728</v>
      </c>
    </row>
    <row r="13" spans="1:15" ht="15" customHeight="1" x14ac:dyDescent="0.25">
      <c r="A13" s="91" t="s">
        <v>746</v>
      </c>
      <c r="B13" s="92" t="s">
        <v>688</v>
      </c>
      <c r="C13" s="92" t="s">
        <v>68</v>
      </c>
      <c r="D13" s="92" t="s">
        <v>711</v>
      </c>
      <c r="E13" s="92" t="s">
        <v>747</v>
      </c>
      <c r="F13" s="92" t="s">
        <v>748</v>
      </c>
      <c r="G13" s="92"/>
      <c r="H13" s="92">
        <v>43</v>
      </c>
      <c r="I13" s="92">
        <v>0</v>
      </c>
      <c r="J13" s="92">
        <v>96</v>
      </c>
      <c r="K13" s="93">
        <v>50794</v>
      </c>
      <c r="L13" s="93">
        <f t="shared" si="0"/>
        <v>4876224</v>
      </c>
      <c r="M13" s="92" t="s">
        <v>692</v>
      </c>
      <c r="N13" s="92" t="s">
        <v>701</v>
      </c>
      <c r="O13" s="95" t="s">
        <v>694</v>
      </c>
    </row>
    <row r="14" spans="1:15" ht="15" customHeight="1" x14ac:dyDescent="0.25">
      <c r="A14" s="91" t="s">
        <v>749</v>
      </c>
      <c r="B14" s="92" t="s">
        <v>720</v>
      </c>
      <c r="C14" s="92" t="s">
        <v>103</v>
      </c>
      <c r="D14" s="92" t="s">
        <v>731</v>
      </c>
      <c r="E14" s="92" t="s">
        <v>750</v>
      </c>
      <c r="F14" s="92" t="s">
        <v>751</v>
      </c>
      <c r="G14" s="92" t="s">
        <v>751</v>
      </c>
      <c r="H14" s="92">
        <v>24</v>
      </c>
      <c r="I14" s="92">
        <v>0</v>
      </c>
      <c r="J14" s="92">
        <v>191</v>
      </c>
      <c r="K14" s="93">
        <v>38686</v>
      </c>
      <c r="L14" s="93">
        <f t="shared" si="0"/>
        <v>7389026</v>
      </c>
      <c r="M14" s="94" t="s">
        <v>727</v>
      </c>
      <c r="N14" s="92" t="s">
        <v>701</v>
      </c>
      <c r="O14" s="96" t="s">
        <v>728</v>
      </c>
    </row>
    <row r="15" spans="1:15" ht="15" customHeight="1" x14ac:dyDescent="0.25">
      <c r="A15" s="91" t="s">
        <v>752</v>
      </c>
      <c r="B15" s="92" t="s">
        <v>753</v>
      </c>
      <c r="C15" s="92" t="s">
        <v>51</v>
      </c>
      <c r="D15" s="92" t="s">
        <v>724</v>
      </c>
      <c r="E15" s="92" t="s">
        <v>754</v>
      </c>
      <c r="F15" s="92" t="s">
        <v>755</v>
      </c>
      <c r="G15" s="92" t="s">
        <v>755</v>
      </c>
      <c r="H15" s="92">
        <v>18</v>
      </c>
      <c r="I15" s="92">
        <v>0</v>
      </c>
      <c r="J15" s="92">
        <v>104</v>
      </c>
      <c r="K15" s="93">
        <v>77678</v>
      </c>
      <c r="L15" s="93">
        <f t="shared" si="0"/>
        <v>8078512</v>
      </c>
      <c r="M15" s="94" t="s">
        <v>727</v>
      </c>
      <c r="N15" s="92" t="s">
        <v>708</v>
      </c>
      <c r="O15" s="96" t="s">
        <v>728</v>
      </c>
    </row>
    <row r="16" spans="1:15" ht="15" customHeight="1" x14ac:dyDescent="0.25">
      <c r="A16" s="91" t="s">
        <v>756</v>
      </c>
      <c r="B16" s="92" t="s">
        <v>688</v>
      </c>
      <c r="C16" s="92" t="s">
        <v>68</v>
      </c>
      <c r="D16" s="92" t="s">
        <v>731</v>
      </c>
      <c r="E16" s="92" t="s">
        <v>757</v>
      </c>
      <c r="F16" s="92" t="s">
        <v>758</v>
      </c>
      <c r="G16" s="92"/>
      <c r="H16" s="92">
        <v>37</v>
      </c>
      <c r="I16" s="92">
        <v>0</v>
      </c>
      <c r="J16" s="92">
        <v>79</v>
      </c>
      <c r="K16" s="93">
        <v>16573</v>
      </c>
      <c r="L16" s="93">
        <f t="shared" si="0"/>
        <v>1309267</v>
      </c>
      <c r="M16" s="94" t="s">
        <v>759</v>
      </c>
      <c r="N16" s="92" t="s">
        <v>708</v>
      </c>
      <c r="O16" s="95" t="s">
        <v>694</v>
      </c>
    </row>
    <row r="17" spans="1:15" ht="15" customHeight="1" x14ac:dyDescent="0.25">
      <c r="A17" s="91" t="s">
        <v>760</v>
      </c>
      <c r="B17" s="92" t="s">
        <v>688</v>
      </c>
      <c r="C17" s="92" t="s">
        <v>68</v>
      </c>
      <c r="D17" s="92" t="s">
        <v>724</v>
      </c>
      <c r="E17" s="92" t="s">
        <v>761</v>
      </c>
      <c r="F17" s="92" t="s">
        <v>762</v>
      </c>
      <c r="G17" s="92" t="s">
        <v>762</v>
      </c>
      <c r="H17" s="92">
        <v>27</v>
      </c>
      <c r="I17" s="92">
        <v>0</v>
      </c>
      <c r="J17" s="92">
        <v>481</v>
      </c>
      <c r="K17" s="93">
        <v>44114</v>
      </c>
      <c r="L17" s="93">
        <f t="shared" si="0"/>
        <v>21218834</v>
      </c>
      <c r="M17" s="94" t="s">
        <v>727</v>
      </c>
      <c r="N17" s="92" t="s">
        <v>742</v>
      </c>
      <c r="O17" s="96" t="s">
        <v>728</v>
      </c>
    </row>
    <row r="18" spans="1:15" ht="15" customHeight="1" x14ac:dyDescent="0.25">
      <c r="A18" s="91" t="s">
        <v>763</v>
      </c>
      <c r="B18" s="92" t="s">
        <v>753</v>
      </c>
      <c r="C18" s="92" t="s">
        <v>51</v>
      </c>
      <c r="D18" s="92" t="s">
        <v>731</v>
      </c>
      <c r="E18" s="92" t="s">
        <v>764</v>
      </c>
      <c r="F18" s="92" t="s">
        <v>765</v>
      </c>
      <c r="G18" s="92" t="s">
        <v>765</v>
      </c>
      <c r="H18" s="92">
        <v>36</v>
      </c>
      <c r="I18" s="92">
        <v>0</v>
      </c>
      <c r="J18" s="92">
        <v>3</v>
      </c>
      <c r="K18" s="93">
        <v>26778</v>
      </c>
      <c r="L18" s="93">
        <f t="shared" si="0"/>
        <v>80334</v>
      </c>
      <c r="M18" s="94" t="s">
        <v>727</v>
      </c>
      <c r="N18" s="92" t="s">
        <v>714</v>
      </c>
      <c r="O18" s="96" t="s">
        <v>728</v>
      </c>
    </row>
    <row r="19" spans="1:15" ht="15" customHeight="1" x14ac:dyDescent="0.25">
      <c r="A19" s="91" t="s">
        <v>766</v>
      </c>
      <c r="B19" s="92" t="s">
        <v>730</v>
      </c>
      <c r="C19" s="92" t="s">
        <v>131</v>
      </c>
      <c r="D19" s="92" t="s">
        <v>716</v>
      </c>
      <c r="E19" s="92" t="s">
        <v>767</v>
      </c>
      <c r="F19" s="92" t="s">
        <v>768</v>
      </c>
      <c r="G19" s="92" t="s">
        <v>768</v>
      </c>
      <c r="H19" s="92">
        <v>28</v>
      </c>
      <c r="I19" s="92">
        <v>0</v>
      </c>
      <c r="J19" s="92">
        <v>393</v>
      </c>
      <c r="K19" s="93">
        <v>56184</v>
      </c>
      <c r="L19" s="93">
        <f t="shared" si="0"/>
        <v>22080312</v>
      </c>
      <c r="M19" s="94" t="s">
        <v>727</v>
      </c>
      <c r="N19" s="92" t="s">
        <v>701</v>
      </c>
      <c r="O19" s="96" t="s">
        <v>728</v>
      </c>
    </row>
    <row r="20" spans="1:15" ht="15" customHeight="1" x14ac:dyDescent="0.25">
      <c r="A20" s="91" t="s">
        <v>769</v>
      </c>
      <c r="B20" s="92" t="s">
        <v>735</v>
      </c>
      <c r="C20" s="92" t="s">
        <v>51</v>
      </c>
      <c r="D20" s="92" t="s">
        <v>724</v>
      </c>
      <c r="E20" s="92" t="s">
        <v>768</v>
      </c>
      <c r="F20" s="92" t="s">
        <v>770</v>
      </c>
      <c r="G20" s="92" t="s">
        <v>770</v>
      </c>
      <c r="H20" s="92">
        <v>20</v>
      </c>
      <c r="I20" s="92">
        <v>0</v>
      </c>
      <c r="J20" s="92">
        <v>273</v>
      </c>
      <c r="K20" s="93">
        <v>27468</v>
      </c>
      <c r="L20" s="93">
        <f t="shared" si="0"/>
        <v>7498764</v>
      </c>
      <c r="M20" s="94" t="s">
        <v>727</v>
      </c>
      <c r="N20" s="92" t="s">
        <v>708</v>
      </c>
      <c r="O20" s="96" t="s">
        <v>728</v>
      </c>
    </row>
    <row r="21" spans="1:15" ht="15" customHeight="1" x14ac:dyDescent="0.25">
      <c r="A21" s="91" t="s">
        <v>771</v>
      </c>
      <c r="B21" s="92" t="s">
        <v>696</v>
      </c>
      <c r="C21" s="92" t="s">
        <v>96</v>
      </c>
      <c r="D21" s="92" t="s">
        <v>724</v>
      </c>
      <c r="E21" s="92" t="s">
        <v>772</v>
      </c>
      <c r="F21" s="92" t="s">
        <v>773</v>
      </c>
      <c r="G21" s="92" t="s">
        <v>773</v>
      </c>
      <c r="H21" s="92">
        <v>16</v>
      </c>
      <c r="I21" s="92">
        <v>0</v>
      </c>
      <c r="J21" s="92">
        <v>319</v>
      </c>
      <c r="K21" s="93">
        <v>47788</v>
      </c>
      <c r="L21" s="93">
        <f t="shared" si="0"/>
        <v>15244372</v>
      </c>
      <c r="M21" s="94" t="s">
        <v>727</v>
      </c>
      <c r="N21" s="92" t="s">
        <v>714</v>
      </c>
      <c r="O21" s="96" t="s">
        <v>728</v>
      </c>
    </row>
    <row r="22" spans="1:15" ht="15" customHeight="1" x14ac:dyDescent="0.25">
      <c r="A22" s="91" t="s">
        <v>774</v>
      </c>
      <c r="B22" s="92" t="s">
        <v>753</v>
      </c>
      <c r="C22" s="92" t="s">
        <v>51</v>
      </c>
      <c r="D22" s="92" t="s">
        <v>705</v>
      </c>
      <c r="E22" s="92" t="s">
        <v>775</v>
      </c>
      <c r="F22" s="92" t="s">
        <v>776</v>
      </c>
      <c r="G22" s="92" t="s">
        <v>777</v>
      </c>
      <c r="H22" s="92">
        <v>42</v>
      </c>
      <c r="I22" s="92">
        <v>3</v>
      </c>
      <c r="J22" s="92">
        <v>412</v>
      </c>
      <c r="K22" s="93">
        <v>24436</v>
      </c>
      <c r="L22" s="93">
        <f t="shared" si="0"/>
        <v>10067632</v>
      </c>
      <c r="M22" s="94" t="s">
        <v>727</v>
      </c>
      <c r="N22" s="92" t="s">
        <v>742</v>
      </c>
      <c r="O22" s="96" t="s">
        <v>778</v>
      </c>
    </row>
    <row r="23" spans="1:15" ht="15" customHeight="1" x14ac:dyDescent="0.25">
      <c r="A23" s="91" t="s">
        <v>779</v>
      </c>
      <c r="B23" s="92" t="s">
        <v>780</v>
      </c>
      <c r="C23" s="92" t="s">
        <v>86</v>
      </c>
      <c r="D23" s="92" t="s">
        <v>716</v>
      </c>
      <c r="E23" s="92" t="s">
        <v>781</v>
      </c>
      <c r="F23" s="92" t="s">
        <v>782</v>
      </c>
      <c r="G23" s="92"/>
      <c r="H23" s="92">
        <v>26</v>
      </c>
      <c r="I23" s="92">
        <v>0</v>
      </c>
      <c r="J23" s="92">
        <v>174</v>
      </c>
      <c r="K23" s="93">
        <v>46179</v>
      </c>
      <c r="L23" s="93">
        <f t="shared" si="0"/>
        <v>8035146</v>
      </c>
      <c r="M23" s="92" t="s">
        <v>692</v>
      </c>
      <c r="N23" s="92" t="s">
        <v>714</v>
      </c>
      <c r="O23" s="95" t="s">
        <v>694</v>
      </c>
    </row>
    <row r="24" spans="1:15" ht="15" customHeight="1" x14ac:dyDescent="0.25">
      <c r="A24" s="91" t="s">
        <v>783</v>
      </c>
      <c r="B24" s="92" t="s">
        <v>780</v>
      </c>
      <c r="C24" s="92" t="s">
        <v>86</v>
      </c>
      <c r="D24" s="92" t="s">
        <v>731</v>
      </c>
      <c r="E24" s="92" t="s">
        <v>784</v>
      </c>
      <c r="F24" s="92" t="s">
        <v>785</v>
      </c>
      <c r="G24" s="92"/>
      <c r="H24" s="92">
        <v>37</v>
      </c>
      <c r="I24" s="92">
        <v>0</v>
      </c>
      <c r="J24" s="92">
        <v>26</v>
      </c>
      <c r="K24" s="93">
        <v>9451</v>
      </c>
      <c r="L24" s="93">
        <f t="shared" si="0"/>
        <v>245726</v>
      </c>
      <c r="M24" s="94" t="s">
        <v>759</v>
      </c>
      <c r="N24" s="92" t="s">
        <v>714</v>
      </c>
      <c r="O24" s="95" t="s">
        <v>694</v>
      </c>
    </row>
    <row r="25" spans="1:15" ht="15" customHeight="1" x14ac:dyDescent="0.25">
      <c r="A25" s="91" t="s">
        <v>786</v>
      </c>
      <c r="B25" s="92" t="s">
        <v>696</v>
      </c>
      <c r="C25" s="92" t="s">
        <v>96</v>
      </c>
      <c r="D25" s="92" t="s">
        <v>787</v>
      </c>
      <c r="E25" s="92" t="s">
        <v>788</v>
      </c>
      <c r="F25" s="92" t="s">
        <v>402</v>
      </c>
      <c r="G25" s="92" t="s">
        <v>402</v>
      </c>
      <c r="H25" s="92">
        <v>32</v>
      </c>
      <c r="I25" s="92">
        <v>0</v>
      </c>
      <c r="J25" s="92">
        <v>323</v>
      </c>
      <c r="K25" s="93">
        <v>71157</v>
      </c>
      <c r="L25" s="93">
        <f t="shared" si="0"/>
        <v>22983711</v>
      </c>
      <c r="M25" s="94" t="s">
        <v>727</v>
      </c>
      <c r="N25" s="92" t="s">
        <v>708</v>
      </c>
      <c r="O25" s="96" t="s">
        <v>728</v>
      </c>
    </row>
    <row r="26" spans="1:15" ht="15" customHeight="1" x14ac:dyDescent="0.25">
      <c r="A26" s="91" t="s">
        <v>789</v>
      </c>
      <c r="B26" s="92" t="s">
        <v>730</v>
      </c>
      <c r="C26" s="92" t="s">
        <v>131</v>
      </c>
      <c r="D26" s="92" t="s">
        <v>705</v>
      </c>
      <c r="E26" s="92" t="s">
        <v>790</v>
      </c>
      <c r="F26" s="92" t="s">
        <v>791</v>
      </c>
      <c r="G26" s="92" t="s">
        <v>791</v>
      </c>
      <c r="H26" s="92">
        <v>26</v>
      </c>
      <c r="I26" s="92">
        <v>0</v>
      </c>
      <c r="J26" s="92">
        <v>344</v>
      </c>
      <c r="K26" s="93">
        <v>68886</v>
      </c>
      <c r="L26" s="93">
        <f t="shared" si="0"/>
        <v>23696784</v>
      </c>
      <c r="M26" s="94" t="s">
        <v>727</v>
      </c>
      <c r="N26" s="92" t="s">
        <v>714</v>
      </c>
      <c r="O26" s="96" t="s">
        <v>728</v>
      </c>
    </row>
    <row r="27" spans="1:15" ht="15" customHeight="1" x14ac:dyDescent="0.25">
      <c r="A27" s="91" t="s">
        <v>792</v>
      </c>
      <c r="B27" s="92" t="s">
        <v>710</v>
      </c>
      <c r="C27" s="92" t="s">
        <v>96</v>
      </c>
      <c r="D27" s="92" t="s">
        <v>711</v>
      </c>
      <c r="E27" s="92" t="s">
        <v>793</v>
      </c>
      <c r="F27" s="92" t="s">
        <v>794</v>
      </c>
      <c r="G27" s="92"/>
      <c r="H27" s="92">
        <v>12</v>
      </c>
      <c r="I27" s="92">
        <v>0</v>
      </c>
      <c r="J27" s="92">
        <v>471</v>
      </c>
      <c r="K27" s="93">
        <v>59532</v>
      </c>
      <c r="L27" s="93">
        <f t="shared" si="0"/>
        <v>28039572</v>
      </c>
      <c r="M27" s="92" t="s">
        <v>692</v>
      </c>
      <c r="N27" s="92" t="s">
        <v>714</v>
      </c>
      <c r="O27" s="95" t="s">
        <v>694</v>
      </c>
    </row>
    <row r="28" spans="1:15" ht="15" customHeight="1" x14ac:dyDescent="0.25">
      <c r="A28" s="91" t="s">
        <v>795</v>
      </c>
      <c r="B28" s="92" t="s">
        <v>710</v>
      </c>
      <c r="C28" s="92" t="s">
        <v>96</v>
      </c>
      <c r="D28" s="92" t="s">
        <v>724</v>
      </c>
      <c r="E28" s="92" t="s">
        <v>796</v>
      </c>
      <c r="F28" s="92" t="s">
        <v>797</v>
      </c>
      <c r="G28" s="92" t="s">
        <v>797</v>
      </c>
      <c r="H28" s="92">
        <v>36</v>
      </c>
      <c r="I28" s="92">
        <v>0</v>
      </c>
      <c r="J28" s="92">
        <v>459</v>
      </c>
      <c r="K28" s="93">
        <v>52632</v>
      </c>
      <c r="L28" s="93">
        <f t="shared" si="0"/>
        <v>24158088</v>
      </c>
      <c r="M28" s="94" t="s">
        <v>727</v>
      </c>
      <c r="N28" s="92" t="s">
        <v>701</v>
      </c>
      <c r="O28" s="96" t="s">
        <v>728</v>
      </c>
    </row>
    <row r="29" spans="1:15" ht="15" customHeight="1" x14ac:dyDescent="0.25">
      <c r="A29" s="91" t="s">
        <v>798</v>
      </c>
      <c r="B29" s="92" t="s">
        <v>739</v>
      </c>
      <c r="C29" s="92" t="s">
        <v>51</v>
      </c>
      <c r="D29" s="92" t="s">
        <v>711</v>
      </c>
      <c r="E29" s="92" t="s">
        <v>799</v>
      </c>
      <c r="F29" s="92" t="s">
        <v>800</v>
      </c>
      <c r="G29" s="92"/>
      <c r="H29" s="92">
        <v>28</v>
      </c>
      <c r="I29" s="92">
        <v>0</v>
      </c>
      <c r="J29" s="92">
        <v>452</v>
      </c>
      <c r="K29" s="93">
        <v>27942</v>
      </c>
      <c r="L29" s="93">
        <f t="shared" si="0"/>
        <v>12629784</v>
      </c>
      <c r="M29" s="92" t="s">
        <v>692</v>
      </c>
      <c r="N29" s="92" t="s">
        <v>708</v>
      </c>
      <c r="O29" s="95" t="s">
        <v>694</v>
      </c>
    </row>
    <row r="30" spans="1:15" ht="15" customHeight="1" x14ac:dyDescent="0.25">
      <c r="A30" s="91" t="s">
        <v>801</v>
      </c>
      <c r="B30" s="92" t="s">
        <v>735</v>
      </c>
      <c r="C30" s="92" t="s">
        <v>51</v>
      </c>
      <c r="D30" s="92" t="s">
        <v>716</v>
      </c>
      <c r="E30" s="92" t="s">
        <v>802</v>
      </c>
      <c r="F30" s="92" t="s">
        <v>803</v>
      </c>
      <c r="G30" s="92" t="s">
        <v>803</v>
      </c>
      <c r="H30" s="92">
        <v>37</v>
      </c>
      <c r="I30" s="92">
        <v>0</v>
      </c>
      <c r="J30" s="92">
        <v>88</v>
      </c>
      <c r="K30" s="93">
        <v>24351</v>
      </c>
      <c r="L30" s="93">
        <f t="shared" si="0"/>
        <v>2142888</v>
      </c>
      <c r="M30" s="94" t="s">
        <v>727</v>
      </c>
      <c r="N30" s="92" t="s">
        <v>701</v>
      </c>
      <c r="O30" s="96" t="s">
        <v>728</v>
      </c>
    </row>
    <row r="31" spans="1:15" ht="15" customHeight="1" x14ac:dyDescent="0.25">
      <c r="A31" s="91" t="s">
        <v>804</v>
      </c>
      <c r="B31" s="92" t="s">
        <v>730</v>
      </c>
      <c r="C31" s="92" t="s">
        <v>131</v>
      </c>
      <c r="D31" s="92" t="s">
        <v>711</v>
      </c>
      <c r="E31" s="92" t="s">
        <v>805</v>
      </c>
      <c r="F31" s="92" t="s">
        <v>806</v>
      </c>
      <c r="G31" s="92" t="s">
        <v>806</v>
      </c>
      <c r="H31" s="92">
        <v>39</v>
      </c>
      <c r="I31" s="92">
        <v>0</v>
      </c>
      <c r="J31" s="92">
        <v>55</v>
      </c>
      <c r="K31" s="93">
        <v>28036</v>
      </c>
      <c r="L31" s="93">
        <f t="shared" si="0"/>
        <v>1541980</v>
      </c>
      <c r="M31" s="94" t="s">
        <v>727</v>
      </c>
      <c r="N31" s="92" t="s">
        <v>714</v>
      </c>
      <c r="O31" s="96" t="s">
        <v>728</v>
      </c>
    </row>
    <row r="32" spans="1:15" ht="15" customHeight="1" x14ac:dyDescent="0.25">
      <c r="A32" s="91" t="s">
        <v>807</v>
      </c>
      <c r="B32" s="92" t="s">
        <v>703</v>
      </c>
      <c r="C32" s="92" t="s">
        <v>704</v>
      </c>
      <c r="D32" s="92" t="s">
        <v>697</v>
      </c>
      <c r="E32" s="92" t="s">
        <v>808</v>
      </c>
      <c r="F32" s="92" t="s">
        <v>784</v>
      </c>
      <c r="G32" s="92" t="s">
        <v>784</v>
      </c>
      <c r="H32" s="92">
        <v>32</v>
      </c>
      <c r="I32" s="92">
        <v>0</v>
      </c>
      <c r="J32" s="92">
        <v>281</v>
      </c>
      <c r="K32" s="93">
        <v>13937</v>
      </c>
      <c r="L32" s="93">
        <f t="shared" si="0"/>
        <v>3916297</v>
      </c>
      <c r="M32" s="94" t="s">
        <v>727</v>
      </c>
      <c r="N32" s="92" t="s">
        <v>708</v>
      </c>
      <c r="O32" s="96" t="s">
        <v>728</v>
      </c>
    </row>
    <row r="33" spans="1:15" ht="15" customHeight="1" x14ac:dyDescent="0.25">
      <c r="A33" s="91" t="s">
        <v>809</v>
      </c>
      <c r="B33" s="92" t="s">
        <v>739</v>
      </c>
      <c r="C33" s="92" t="s">
        <v>51</v>
      </c>
      <c r="D33" s="92" t="s">
        <v>716</v>
      </c>
      <c r="E33" s="92" t="s">
        <v>810</v>
      </c>
      <c r="F33" s="92" t="s">
        <v>811</v>
      </c>
      <c r="G33" s="92" t="s">
        <v>811</v>
      </c>
      <c r="H33" s="92">
        <v>28</v>
      </c>
      <c r="I33" s="92">
        <v>0</v>
      </c>
      <c r="J33" s="92">
        <v>402</v>
      </c>
      <c r="K33" s="93">
        <v>83327</v>
      </c>
      <c r="L33" s="93">
        <f t="shared" si="0"/>
        <v>33497454</v>
      </c>
      <c r="M33" s="94" t="s">
        <v>727</v>
      </c>
      <c r="N33" s="92" t="s">
        <v>693</v>
      </c>
      <c r="O33" s="96" t="s">
        <v>728</v>
      </c>
    </row>
    <row r="34" spans="1:15" ht="15" customHeight="1" x14ac:dyDescent="0.25">
      <c r="A34" s="91" t="s">
        <v>812</v>
      </c>
      <c r="B34" s="92" t="s">
        <v>720</v>
      </c>
      <c r="C34" s="92" t="s">
        <v>103</v>
      </c>
      <c r="D34" s="92" t="s">
        <v>689</v>
      </c>
      <c r="E34" s="92" t="s">
        <v>813</v>
      </c>
      <c r="F34" s="92" t="s">
        <v>814</v>
      </c>
      <c r="G34" s="92"/>
      <c r="H34" s="92">
        <v>18</v>
      </c>
      <c r="I34" s="92">
        <v>0</v>
      </c>
      <c r="J34" s="92">
        <v>40</v>
      </c>
      <c r="K34" s="93">
        <v>62977</v>
      </c>
      <c r="L34" s="93">
        <f t="shared" si="0"/>
        <v>2519080</v>
      </c>
      <c r="M34" s="92" t="s">
        <v>692</v>
      </c>
      <c r="N34" s="92" t="s">
        <v>693</v>
      </c>
      <c r="O34" s="95" t="s">
        <v>694</v>
      </c>
    </row>
    <row r="35" spans="1:15" ht="15" customHeight="1" x14ac:dyDescent="0.25">
      <c r="A35" s="91" t="s">
        <v>815</v>
      </c>
      <c r="B35" s="92" t="s">
        <v>710</v>
      </c>
      <c r="C35" s="92" t="s">
        <v>96</v>
      </c>
      <c r="D35" s="92" t="s">
        <v>716</v>
      </c>
      <c r="E35" s="92" t="s">
        <v>816</v>
      </c>
      <c r="F35" s="92" t="s">
        <v>817</v>
      </c>
      <c r="G35" s="92" t="s">
        <v>817</v>
      </c>
      <c r="H35" s="92">
        <v>44</v>
      </c>
      <c r="I35" s="92">
        <v>0</v>
      </c>
      <c r="J35" s="92">
        <v>421</v>
      </c>
      <c r="K35" s="93">
        <v>38121</v>
      </c>
      <c r="L35" s="93">
        <f t="shared" si="0"/>
        <v>16048941</v>
      </c>
      <c r="M35" s="94" t="s">
        <v>727</v>
      </c>
      <c r="N35" s="92" t="s">
        <v>701</v>
      </c>
      <c r="O35" s="96" t="s">
        <v>728</v>
      </c>
    </row>
    <row r="36" spans="1:15" ht="15" customHeight="1" x14ac:dyDescent="0.25">
      <c r="A36" s="91" t="s">
        <v>818</v>
      </c>
      <c r="B36" s="92" t="s">
        <v>739</v>
      </c>
      <c r="C36" s="92" t="s">
        <v>51</v>
      </c>
      <c r="D36" s="92" t="s">
        <v>716</v>
      </c>
      <c r="E36" s="92" t="s">
        <v>819</v>
      </c>
      <c r="F36" s="92" t="s">
        <v>820</v>
      </c>
      <c r="G36" s="92" t="s">
        <v>820</v>
      </c>
      <c r="H36" s="92">
        <v>45</v>
      </c>
      <c r="I36" s="92">
        <v>0</v>
      </c>
      <c r="J36" s="92">
        <v>420</v>
      </c>
      <c r="K36" s="93">
        <v>32518</v>
      </c>
      <c r="L36" s="93">
        <f t="shared" si="0"/>
        <v>13657560</v>
      </c>
      <c r="M36" s="94" t="s">
        <v>727</v>
      </c>
      <c r="N36" s="92" t="s">
        <v>708</v>
      </c>
      <c r="O36" s="96" t="s">
        <v>728</v>
      </c>
    </row>
    <row r="37" spans="1:15" ht="15" customHeight="1" x14ac:dyDescent="0.25">
      <c r="A37" s="91" t="s">
        <v>821</v>
      </c>
      <c r="B37" s="92" t="s">
        <v>735</v>
      </c>
      <c r="C37" s="92" t="s">
        <v>51</v>
      </c>
      <c r="D37" s="92" t="s">
        <v>716</v>
      </c>
      <c r="E37" s="92" t="s">
        <v>822</v>
      </c>
      <c r="F37" s="92" t="s">
        <v>823</v>
      </c>
      <c r="G37" s="92"/>
      <c r="H37" s="92">
        <v>20</v>
      </c>
      <c r="I37" s="92">
        <v>0</v>
      </c>
      <c r="J37" s="92">
        <v>455</v>
      </c>
      <c r="K37" s="93">
        <v>49575</v>
      </c>
      <c r="L37" s="93">
        <f t="shared" si="0"/>
        <v>22556625</v>
      </c>
      <c r="M37" s="92" t="s">
        <v>692</v>
      </c>
      <c r="N37" s="92" t="s">
        <v>714</v>
      </c>
      <c r="O37" s="95" t="s">
        <v>694</v>
      </c>
    </row>
    <row r="38" spans="1:15" ht="15" customHeight="1" x14ac:dyDescent="0.25">
      <c r="A38" s="91" t="s">
        <v>824</v>
      </c>
      <c r="B38" s="92" t="s">
        <v>780</v>
      </c>
      <c r="C38" s="92" t="s">
        <v>86</v>
      </c>
      <c r="D38" s="92" t="s">
        <v>711</v>
      </c>
      <c r="E38" s="92" t="s">
        <v>825</v>
      </c>
      <c r="F38" s="92" t="s">
        <v>826</v>
      </c>
      <c r="G38" s="92" t="s">
        <v>826</v>
      </c>
      <c r="H38" s="92">
        <v>35</v>
      </c>
      <c r="I38" s="92">
        <v>0</v>
      </c>
      <c r="J38" s="92">
        <v>229</v>
      </c>
      <c r="K38" s="93">
        <v>17034</v>
      </c>
      <c r="L38" s="93">
        <f t="shared" si="0"/>
        <v>3900786</v>
      </c>
      <c r="M38" s="94" t="s">
        <v>727</v>
      </c>
      <c r="N38" s="92" t="s">
        <v>701</v>
      </c>
      <c r="O38" s="96" t="s">
        <v>728</v>
      </c>
    </row>
    <row r="39" spans="1:15" ht="15" customHeight="1" x14ac:dyDescent="0.25">
      <c r="A39" s="91" t="s">
        <v>827</v>
      </c>
      <c r="B39" s="92" t="s">
        <v>703</v>
      </c>
      <c r="C39" s="92" t="s">
        <v>704</v>
      </c>
      <c r="D39" s="92" t="s">
        <v>724</v>
      </c>
      <c r="E39" s="92" t="s">
        <v>828</v>
      </c>
      <c r="F39" s="92" t="s">
        <v>829</v>
      </c>
      <c r="G39" s="92"/>
      <c r="H39" s="92">
        <v>34</v>
      </c>
      <c r="I39" s="92">
        <v>0</v>
      </c>
      <c r="J39" s="92">
        <v>469</v>
      </c>
      <c r="K39" s="93">
        <v>29590</v>
      </c>
      <c r="L39" s="93">
        <f t="shared" si="0"/>
        <v>13877710</v>
      </c>
      <c r="M39" s="92" t="s">
        <v>692</v>
      </c>
      <c r="N39" s="92" t="s">
        <v>714</v>
      </c>
      <c r="O39" s="95" t="s">
        <v>694</v>
      </c>
    </row>
    <row r="40" spans="1:15" ht="15" customHeight="1" x14ac:dyDescent="0.25">
      <c r="A40" s="91" t="s">
        <v>830</v>
      </c>
      <c r="B40" s="92" t="s">
        <v>730</v>
      </c>
      <c r="C40" s="92" t="s">
        <v>131</v>
      </c>
      <c r="D40" s="92" t="s">
        <v>731</v>
      </c>
      <c r="E40" s="92" t="s">
        <v>822</v>
      </c>
      <c r="F40" s="92" t="s">
        <v>831</v>
      </c>
      <c r="G40" s="92" t="s">
        <v>831</v>
      </c>
      <c r="H40" s="92">
        <v>39</v>
      </c>
      <c r="I40" s="92">
        <v>0</v>
      </c>
      <c r="J40" s="92">
        <v>32</v>
      </c>
      <c r="K40" s="93">
        <v>31699</v>
      </c>
      <c r="L40" s="93">
        <f t="shared" si="0"/>
        <v>1014368</v>
      </c>
      <c r="M40" s="94" t="s">
        <v>727</v>
      </c>
      <c r="N40" s="92" t="s">
        <v>693</v>
      </c>
      <c r="O40" s="96" t="s">
        <v>728</v>
      </c>
    </row>
    <row r="41" spans="1:15" ht="15" customHeight="1" x14ac:dyDescent="0.25">
      <c r="A41" s="91" t="s">
        <v>832</v>
      </c>
      <c r="B41" s="92" t="s">
        <v>735</v>
      </c>
      <c r="C41" s="92" t="s">
        <v>51</v>
      </c>
      <c r="D41" s="92" t="s">
        <v>731</v>
      </c>
      <c r="E41" s="92" t="s">
        <v>833</v>
      </c>
      <c r="F41" s="92" t="s">
        <v>834</v>
      </c>
      <c r="G41" s="92"/>
      <c r="H41" s="92">
        <v>42</v>
      </c>
      <c r="I41" s="92">
        <v>0</v>
      </c>
      <c r="J41" s="92">
        <v>184</v>
      </c>
      <c r="K41" s="93">
        <v>9770</v>
      </c>
      <c r="L41" s="93">
        <f t="shared" si="0"/>
        <v>1797680</v>
      </c>
      <c r="M41" s="92" t="s">
        <v>692</v>
      </c>
      <c r="N41" s="92" t="s">
        <v>701</v>
      </c>
      <c r="O41" s="95" t="s">
        <v>694</v>
      </c>
    </row>
    <row r="42" spans="1:15" ht="15" customHeight="1" x14ac:dyDescent="0.25">
      <c r="A42" s="91" t="s">
        <v>835</v>
      </c>
      <c r="B42" s="92" t="s">
        <v>735</v>
      </c>
      <c r="C42" s="92" t="s">
        <v>51</v>
      </c>
      <c r="D42" s="92" t="s">
        <v>689</v>
      </c>
      <c r="E42" s="92" t="s">
        <v>836</v>
      </c>
      <c r="F42" s="92" t="s">
        <v>837</v>
      </c>
      <c r="G42" s="92"/>
      <c r="H42" s="92">
        <v>34</v>
      </c>
      <c r="I42" s="92">
        <v>0</v>
      </c>
      <c r="J42" s="92">
        <v>202</v>
      </c>
      <c r="K42" s="93">
        <v>53331</v>
      </c>
      <c r="L42" s="93">
        <f t="shared" si="0"/>
        <v>10772862</v>
      </c>
      <c r="M42" s="92" t="s">
        <v>692</v>
      </c>
      <c r="N42" s="92" t="s">
        <v>708</v>
      </c>
      <c r="O42" s="95" t="s">
        <v>694</v>
      </c>
    </row>
    <row r="43" spans="1:15" ht="15" customHeight="1" x14ac:dyDescent="0.25">
      <c r="A43" s="91" t="s">
        <v>838</v>
      </c>
      <c r="B43" s="92" t="s">
        <v>739</v>
      </c>
      <c r="C43" s="92" t="s">
        <v>51</v>
      </c>
      <c r="D43" s="92" t="s">
        <v>787</v>
      </c>
      <c r="E43" s="92" t="s">
        <v>839</v>
      </c>
      <c r="F43" s="92" t="s">
        <v>840</v>
      </c>
      <c r="G43" s="92" t="s">
        <v>840</v>
      </c>
      <c r="H43" s="92">
        <v>34</v>
      </c>
      <c r="I43" s="92">
        <v>0</v>
      </c>
      <c r="J43" s="92">
        <v>72</v>
      </c>
      <c r="K43" s="93">
        <v>16405</v>
      </c>
      <c r="L43" s="93">
        <f t="shared" si="0"/>
        <v>1181160</v>
      </c>
      <c r="M43" s="94" t="s">
        <v>727</v>
      </c>
      <c r="N43" s="92" t="s">
        <v>708</v>
      </c>
      <c r="O43" s="96" t="s">
        <v>728</v>
      </c>
    </row>
    <row r="44" spans="1:15" ht="15" customHeight="1" x14ac:dyDescent="0.25">
      <c r="A44" s="91" t="s">
        <v>841</v>
      </c>
      <c r="B44" s="92" t="s">
        <v>720</v>
      </c>
      <c r="C44" s="92" t="s">
        <v>103</v>
      </c>
      <c r="D44" s="92" t="s">
        <v>787</v>
      </c>
      <c r="E44" s="92" t="s">
        <v>842</v>
      </c>
      <c r="F44" s="92" t="s">
        <v>843</v>
      </c>
      <c r="G44" s="92" t="s">
        <v>843</v>
      </c>
      <c r="H44" s="92">
        <v>16</v>
      </c>
      <c r="I44" s="92">
        <v>0</v>
      </c>
      <c r="J44" s="92">
        <v>69</v>
      </c>
      <c r="K44" s="93">
        <v>1480</v>
      </c>
      <c r="L44" s="93">
        <f t="shared" si="0"/>
        <v>102120</v>
      </c>
      <c r="M44" s="94" t="s">
        <v>727</v>
      </c>
      <c r="N44" s="92" t="s">
        <v>714</v>
      </c>
      <c r="O44" s="96" t="s">
        <v>728</v>
      </c>
    </row>
    <row r="45" spans="1:15" ht="15" customHeight="1" x14ac:dyDescent="0.25">
      <c r="A45" s="91" t="s">
        <v>844</v>
      </c>
      <c r="B45" s="92" t="s">
        <v>780</v>
      </c>
      <c r="C45" s="92" t="s">
        <v>86</v>
      </c>
      <c r="D45" s="92" t="s">
        <v>697</v>
      </c>
      <c r="E45" s="92" t="s">
        <v>845</v>
      </c>
      <c r="F45" s="92" t="s">
        <v>389</v>
      </c>
      <c r="G45" s="92"/>
      <c r="H45" s="92">
        <v>34</v>
      </c>
      <c r="I45" s="92">
        <v>7</v>
      </c>
      <c r="J45" s="92">
        <v>44</v>
      </c>
      <c r="K45" s="93">
        <v>12095</v>
      </c>
      <c r="L45" s="93">
        <f t="shared" si="0"/>
        <v>532180</v>
      </c>
      <c r="M45" s="94" t="s">
        <v>700</v>
      </c>
      <c r="N45" s="92" t="s">
        <v>708</v>
      </c>
      <c r="O45" s="95" t="s">
        <v>694</v>
      </c>
    </row>
    <row r="46" spans="1:15" ht="15" customHeight="1" x14ac:dyDescent="0.25">
      <c r="A46" s="91" t="s">
        <v>846</v>
      </c>
      <c r="B46" s="92" t="s">
        <v>710</v>
      </c>
      <c r="C46" s="92" t="s">
        <v>96</v>
      </c>
      <c r="D46" s="92" t="s">
        <v>787</v>
      </c>
      <c r="E46" s="92" t="s">
        <v>847</v>
      </c>
      <c r="F46" s="92" t="s">
        <v>848</v>
      </c>
      <c r="G46" s="92" t="s">
        <v>848</v>
      </c>
      <c r="H46" s="92">
        <v>18</v>
      </c>
      <c r="I46" s="92">
        <v>0</v>
      </c>
      <c r="J46" s="92">
        <v>231</v>
      </c>
      <c r="K46" s="93">
        <v>33008</v>
      </c>
      <c r="L46" s="93">
        <f t="shared" si="0"/>
        <v>7624848</v>
      </c>
      <c r="M46" s="94" t="s">
        <v>727</v>
      </c>
      <c r="N46" s="92" t="s">
        <v>742</v>
      </c>
      <c r="O46" s="96" t="s">
        <v>728</v>
      </c>
    </row>
    <row r="47" spans="1:15" ht="15" customHeight="1" x14ac:dyDescent="0.25">
      <c r="A47" s="91" t="s">
        <v>849</v>
      </c>
      <c r="B47" s="92" t="s">
        <v>780</v>
      </c>
      <c r="C47" s="92" t="s">
        <v>86</v>
      </c>
      <c r="D47" s="92" t="s">
        <v>787</v>
      </c>
      <c r="E47" s="92" t="s">
        <v>836</v>
      </c>
      <c r="F47" s="92" t="s">
        <v>850</v>
      </c>
      <c r="G47" s="92" t="s">
        <v>850</v>
      </c>
      <c r="H47" s="92">
        <v>45</v>
      </c>
      <c r="I47" s="92">
        <v>0</v>
      </c>
      <c r="J47" s="92">
        <v>122</v>
      </c>
      <c r="K47" s="93">
        <v>60675</v>
      </c>
      <c r="L47" s="93">
        <f t="shared" si="0"/>
        <v>7402350</v>
      </c>
      <c r="M47" s="94" t="s">
        <v>727</v>
      </c>
      <c r="N47" s="92" t="s">
        <v>701</v>
      </c>
      <c r="O47" s="96" t="s">
        <v>728</v>
      </c>
    </row>
    <row r="48" spans="1:15" ht="15" customHeight="1" x14ac:dyDescent="0.25">
      <c r="A48" s="91" t="s">
        <v>851</v>
      </c>
      <c r="B48" s="92" t="s">
        <v>739</v>
      </c>
      <c r="C48" s="92" t="s">
        <v>51</v>
      </c>
      <c r="D48" s="92" t="s">
        <v>705</v>
      </c>
      <c r="E48" s="92" t="s">
        <v>852</v>
      </c>
      <c r="F48" s="92" t="s">
        <v>853</v>
      </c>
      <c r="G48" s="92"/>
      <c r="H48" s="92">
        <v>9</v>
      </c>
      <c r="I48" s="92">
        <v>21</v>
      </c>
      <c r="J48" s="92">
        <v>248</v>
      </c>
      <c r="K48" s="93">
        <v>60063</v>
      </c>
      <c r="L48" s="93">
        <f t="shared" si="0"/>
        <v>14895624</v>
      </c>
      <c r="M48" s="94" t="s">
        <v>700</v>
      </c>
      <c r="N48" s="92" t="s">
        <v>714</v>
      </c>
      <c r="O48" s="95" t="s">
        <v>694</v>
      </c>
    </row>
    <row r="49" spans="1:15" ht="15" customHeight="1" x14ac:dyDescent="0.25">
      <c r="A49" s="91" t="s">
        <v>854</v>
      </c>
      <c r="B49" s="92" t="s">
        <v>730</v>
      </c>
      <c r="C49" s="92" t="s">
        <v>131</v>
      </c>
      <c r="D49" s="92" t="s">
        <v>697</v>
      </c>
      <c r="E49" s="92" t="s">
        <v>855</v>
      </c>
      <c r="F49" s="92" t="s">
        <v>856</v>
      </c>
      <c r="G49" s="92" t="s">
        <v>856</v>
      </c>
      <c r="H49" s="92">
        <v>12</v>
      </c>
      <c r="I49" s="92">
        <v>0</v>
      </c>
      <c r="J49" s="92">
        <v>440</v>
      </c>
      <c r="K49" s="93">
        <v>83620</v>
      </c>
      <c r="L49" s="93">
        <f t="shared" si="0"/>
        <v>36792800</v>
      </c>
      <c r="M49" s="94" t="s">
        <v>727</v>
      </c>
      <c r="N49" s="92" t="s">
        <v>701</v>
      </c>
      <c r="O49" s="96" t="s">
        <v>728</v>
      </c>
    </row>
    <row r="50" spans="1:15" ht="15" customHeight="1" x14ac:dyDescent="0.25">
      <c r="A50" s="91" t="s">
        <v>857</v>
      </c>
      <c r="B50" s="92" t="s">
        <v>710</v>
      </c>
      <c r="C50" s="92" t="s">
        <v>96</v>
      </c>
      <c r="D50" s="92" t="s">
        <v>716</v>
      </c>
      <c r="E50" s="92" t="s">
        <v>858</v>
      </c>
      <c r="F50" s="92" t="s">
        <v>859</v>
      </c>
      <c r="G50" s="92"/>
      <c r="H50" s="92">
        <v>40</v>
      </c>
      <c r="I50" s="92">
        <v>0</v>
      </c>
      <c r="J50" s="92">
        <v>46</v>
      </c>
      <c r="K50" s="93">
        <v>21222</v>
      </c>
      <c r="L50" s="93">
        <f t="shared" si="0"/>
        <v>976212</v>
      </c>
      <c r="M50" s="94" t="s">
        <v>759</v>
      </c>
      <c r="N50" s="92" t="s">
        <v>714</v>
      </c>
      <c r="O50" s="95" t="s">
        <v>694</v>
      </c>
    </row>
    <row r="51" spans="1:15" ht="15" customHeight="1" x14ac:dyDescent="0.25">
      <c r="A51" s="91" t="s">
        <v>860</v>
      </c>
      <c r="B51" s="92" t="s">
        <v>688</v>
      </c>
      <c r="C51" s="92" t="s">
        <v>68</v>
      </c>
      <c r="D51" s="92" t="s">
        <v>724</v>
      </c>
      <c r="E51" s="92" t="s">
        <v>698</v>
      </c>
      <c r="F51" s="92" t="s">
        <v>861</v>
      </c>
      <c r="G51" s="92"/>
      <c r="H51" s="92">
        <v>10</v>
      </c>
      <c r="I51" s="92">
        <v>0</v>
      </c>
      <c r="J51" s="92">
        <v>274</v>
      </c>
      <c r="K51" s="93">
        <v>66286</v>
      </c>
      <c r="L51" s="93">
        <f t="shared" si="0"/>
        <v>18162364</v>
      </c>
      <c r="M51" s="94" t="s">
        <v>759</v>
      </c>
      <c r="N51" s="92" t="s">
        <v>708</v>
      </c>
      <c r="O51" s="95" t="s">
        <v>694</v>
      </c>
    </row>
    <row r="52" spans="1:15" ht="15" customHeight="1" x14ac:dyDescent="0.25">
      <c r="A52" s="91" t="s">
        <v>862</v>
      </c>
      <c r="B52" s="92" t="s">
        <v>710</v>
      </c>
      <c r="C52" s="92" t="s">
        <v>96</v>
      </c>
      <c r="D52" s="92" t="s">
        <v>697</v>
      </c>
      <c r="E52" s="92" t="s">
        <v>863</v>
      </c>
      <c r="F52" s="92" t="s">
        <v>864</v>
      </c>
      <c r="G52" s="92"/>
      <c r="H52" s="92">
        <v>43</v>
      </c>
      <c r="I52" s="92">
        <v>0</v>
      </c>
      <c r="J52" s="92">
        <v>216</v>
      </c>
      <c r="K52" s="93">
        <v>30321</v>
      </c>
      <c r="L52" s="93">
        <f t="shared" si="0"/>
        <v>6549336</v>
      </c>
      <c r="M52" s="92" t="s">
        <v>692</v>
      </c>
      <c r="N52" s="92" t="s">
        <v>701</v>
      </c>
      <c r="O52" s="95" t="s">
        <v>694</v>
      </c>
    </row>
    <row r="53" spans="1:15" ht="15" customHeight="1" x14ac:dyDescent="0.25">
      <c r="A53" s="91" t="s">
        <v>865</v>
      </c>
      <c r="B53" s="92" t="s">
        <v>703</v>
      </c>
      <c r="C53" s="92" t="s">
        <v>704</v>
      </c>
      <c r="D53" s="92" t="s">
        <v>711</v>
      </c>
      <c r="E53" s="92" t="s">
        <v>866</v>
      </c>
      <c r="F53" s="92" t="s">
        <v>799</v>
      </c>
      <c r="G53" s="92"/>
      <c r="H53" s="92">
        <v>9</v>
      </c>
      <c r="I53" s="92">
        <v>0</v>
      </c>
      <c r="J53" s="92">
        <v>306</v>
      </c>
      <c r="K53" s="93">
        <v>63826</v>
      </c>
      <c r="L53" s="93">
        <f t="shared" si="0"/>
        <v>19530756</v>
      </c>
      <c r="M53" s="92" t="s">
        <v>692</v>
      </c>
      <c r="N53" s="92" t="s">
        <v>693</v>
      </c>
      <c r="O53" s="95" t="s">
        <v>694</v>
      </c>
    </row>
    <row r="54" spans="1:15" ht="15" customHeight="1" x14ac:dyDescent="0.25">
      <c r="A54" s="91" t="s">
        <v>867</v>
      </c>
      <c r="B54" s="92" t="s">
        <v>703</v>
      </c>
      <c r="C54" s="92" t="s">
        <v>704</v>
      </c>
      <c r="D54" s="92" t="s">
        <v>731</v>
      </c>
      <c r="E54" s="92" t="s">
        <v>868</v>
      </c>
      <c r="F54" s="92" t="s">
        <v>869</v>
      </c>
      <c r="G54" s="92" t="s">
        <v>869</v>
      </c>
      <c r="H54" s="92">
        <v>37</v>
      </c>
      <c r="I54" s="92">
        <v>0</v>
      </c>
      <c r="J54" s="92">
        <v>150</v>
      </c>
      <c r="K54" s="93">
        <v>68852</v>
      </c>
      <c r="L54" s="93">
        <f t="shared" si="0"/>
        <v>10327800</v>
      </c>
      <c r="M54" s="94" t="s">
        <v>727</v>
      </c>
      <c r="N54" s="92" t="s">
        <v>693</v>
      </c>
      <c r="O54" s="96" t="s">
        <v>728</v>
      </c>
    </row>
    <row r="55" spans="1:15" ht="15" customHeight="1" x14ac:dyDescent="0.25">
      <c r="A55" s="91" t="s">
        <v>870</v>
      </c>
      <c r="B55" s="92" t="s">
        <v>735</v>
      </c>
      <c r="C55" s="92" t="s">
        <v>51</v>
      </c>
      <c r="D55" s="92" t="s">
        <v>724</v>
      </c>
      <c r="E55" s="92" t="s">
        <v>871</v>
      </c>
      <c r="F55" s="92" t="s">
        <v>872</v>
      </c>
      <c r="G55" s="92" t="s">
        <v>872</v>
      </c>
      <c r="H55" s="92">
        <v>38</v>
      </c>
      <c r="I55" s="92">
        <v>0</v>
      </c>
      <c r="J55" s="92">
        <v>402</v>
      </c>
      <c r="K55" s="93">
        <v>23978</v>
      </c>
      <c r="L55" s="93">
        <f t="shared" si="0"/>
        <v>9639156</v>
      </c>
      <c r="M55" s="94" t="s">
        <v>727</v>
      </c>
      <c r="N55" s="92" t="s">
        <v>742</v>
      </c>
      <c r="O55" s="96" t="s">
        <v>728</v>
      </c>
    </row>
    <row r="56" spans="1:15" ht="15" customHeight="1" x14ac:dyDescent="0.25">
      <c r="A56" s="91" t="s">
        <v>873</v>
      </c>
      <c r="B56" s="92" t="s">
        <v>730</v>
      </c>
      <c r="C56" s="92" t="s">
        <v>131</v>
      </c>
      <c r="D56" s="92" t="s">
        <v>724</v>
      </c>
      <c r="E56" s="92" t="s">
        <v>874</v>
      </c>
      <c r="F56" s="92" t="s">
        <v>875</v>
      </c>
      <c r="G56" s="92"/>
      <c r="H56" s="92">
        <v>24</v>
      </c>
      <c r="I56" s="92">
        <v>0</v>
      </c>
      <c r="J56" s="92">
        <v>8</v>
      </c>
      <c r="K56" s="93">
        <v>63151</v>
      </c>
      <c r="L56" s="93">
        <f t="shared" si="0"/>
        <v>505208</v>
      </c>
      <c r="M56" s="94" t="s">
        <v>759</v>
      </c>
      <c r="N56" s="92" t="s">
        <v>693</v>
      </c>
      <c r="O56" s="95" t="s">
        <v>694</v>
      </c>
    </row>
    <row r="57" spans="1:15" ht="15" customHeight="1" x14ac:dyDescent="0.25">
      <c r="A57" s="91" t="s">
        <v>876</v>
      </c>
      <c r="B57" s="92" t="s">
        <v>780</v>
      </c>
      <c r="C57" s="92" t="s">
        <v>86</v>
      </c>
      <c r="D57" s="92" t="s">
        <v>711</v>
      </c>
      <c r="E57" s="92" t="s">
        <v>877</v>
      </c>
      <c r="F57" s="92" t="s">
        <v>878</v>
      </c>
      <c r="G57" s="92" t="s">
        <v>878</v>
      </c>
      <c r="H57" s="92">
        <v>35</v>
      </c>
      <c r="I57" s="92">
        <v>0</v>
      </c>
      <c r="J57" s="92">
        <v>359</v>
      </c>
      <c r="K57" s="93">
        <v>20459</v>
      </c>
      <c r="L57" s="93">
        <f t="shared" si="0"/>
        <v>7344781</v>
      </c>
      <c r="M57" s="94" t="s">
        <v>727</v>
      </c>
      <c r="N57" s="92" t="s">
        <v>742</v>
      </c>
      <c r="O57" s="96" t="s">
        <v>728</v>
      </c>
    </row>
    <row r="58" spans="1:15" ht="15" customHeight="1" x14ac:dyDescent="0.25">
      <c r="A58" s="91" t="s">
        <v>879</v>
      </c>
      <c r="B58" s="92" t="s">
        <v>688</v>
      </c>
      <c r="C58" s="92" t="s">
        <v>68</v>
      </c>
      <c r="D58" s="92" t="s">
        <v>731</v>
      </c>
      <c r="E58" s="92" t="s">
        <v>796</v>
      </c>
      <c r="F58" s="92" t="s">
        <v>880</v>
      </c>
      <c r="G58" s="92"/>
      <c r="H58" s="92">
        <v>28</v>
      </c>
      <c r="I58" s="92">
        <v>7</v>
      </c>
      <c r="J58" s="92">
        <v>305</v>
      </c>
      <c r="K58" s="93">
        <v>79418</v>
      </c>
      <c r="L58" s="93">
        <f t="shared" si="0"/>
        <v>24222490</v>
      </c>
      <c r="M58" s="94" t="s">
        <v>700</v>
      </c>
      <c r="N58" s="92" t="s">
        <v>742</v>
      </c>
      <c r="O58" s="95" t="s">
        <v>694</v>
      </c>
    </row>
    <row r="59" spans="1:15" ht="15" customHeight="1" x14ac:dyDescent="0.25">
      <c r="A59" s="91" t="s">
        <v>881</v>
      </c>
      <c r="B59" s="92" t="s">
        <v>710</v>
      </c>
      <c r="C59" s="92" t="s">
        <v>96</v>
      </c>
      <c r="D59" s="92" t="s">
        <v>787</v>
      </c>
      <c r="E59" s="92" t="s">
        <v>836</v>
      </c>
      <c r="F59" s="92" t="s">
        <v>882</v>
      </c>
      <c r="G59" s="92" t="s">
        <v>882</v>
      </c>
      <c r="H59" s="92">
        <v>31</v>
      </c>
      <c r="I59" s="92">
        <v>0</v>
      </c>
      <c r="J59" s="92">
        <v>86</v>
      </c>
      <c r="K59" s="93">
        <v>18317</v>
      </c>
      <c r="L59" s="93">
        <f t="shared" si="0"/>
        <v>1575262</v>
      </c>
      <c r="M59" s="94" t="s">
        <v>727</v>
      </c>
      <c r="N59" s="92" t="s">
        <v>701</v>
      </c>
      <c r="O59" s="96" t="s">
        <v>728</v>
      </c>
    </row>
    <row r="60" spans="1:15" ht="15" customHeight="1" x14ac:dyDescent="0.25">
      <c r="A60" s="91" t="s">
        <v>883</v>
      </c>
      <c r="B60" s="92" t="s">
        <v>735</v>
      </c>
      <c r="C60" s="92" t="s">
        <v>51</v>
      </c>
      <c r="D60" s="92" t="s">
        <v>724</v>
      </c>
      <c r="E60" s="92" t="s">
        <v>884</v>
      </c>
      <c r="F60" s="92" t="s">
        <v>885</v>
      </c>
      <c r="G60" s="92" t="s">
        <v>885</v>
      </c>
      <c r="H60" s="92">
        <v>14</v>
      </c>
      <c r="I60" s="92">
        <v>0</v>
      </c>
      <c r="J60" s="92">
        <v>155</v>
      </c>
      <c r="K60" s="93">
        <v>40744</v>
      </c>
      <c r="L60" s="93">
        <f t="shared" si="0"/>
        <v>6315320</v>
      </c>
      <c r="M60" s="94" t="s">
        <v>727</v>
      </c>
      <c r="N60" s="92" t="s">
        <v>693</v>
      </c>
      <c r="O60" s="96" t="s">
        <v>728</v>
      </c>
    </row>
    <row r="61" spans="1:15" ht="15" customHeight="1" x14ac:dyDescent="0.25">
      <c r="A61" s="91" t="s">
        <v>886</v>
      </c>
      <c r="B61" s="92" t="s">
        <v>753</v>
      </c>
      <c r="C61" s="92" t="s">
        <v>51</v>
      </c>
      <c r="D61" s="92" t="s">
        <v>787</v>
      </c>
      <c r="E61" s="92" t="s">
        <v>887</v>
      </c>
      <c r="F61" s="92" t="s">
        <v>888</v>
      </c>
      <c r="G61" s="92" t="s">
        <v>888</v>
      </c>
      <c r="H61" s="92">
        <v>31</v>
      </c>
      <c r="I61" s="92">
        <v>0</v>
      </c>
      <c r="J61" s="92">
        <v>223</v>
      </c>
      <c r="K61" s="93">
        <v>1502</v>
      </c>
      <c r="L61" s="93">
        <f t="shared" si="0"/>
        <v>334946</v>
      </c>
      <c r="M61" s="94" t="s">
        <v>727</v>
      </c>
      <c r="N61" s="92" t="s">
        <v>708</v>
      </c>
      <c r="O61" s="96" t="s">
        <v>728</v>
      </c>
    </row>
    <row r="62" spans="1:15" ht="15" customHeight="1" x14ac:dyDescent="0.25">
      <c r="A62" s="91" t="s">
        <v>889</v>
      </c>
      <c r="B62" s="92" t="s">
        <v>739</v>
      </c>
      <c r="C62" s="92" t="s">
        <v>51</v>
      </c>
      <c r="D62" s="92" t="s">
        <v>705</v>
      </c>
      <c r="E62" s="92" t="s">
        <v>890</v>
      </c>
      <c r="F62" s="92" t="s">
        <v>698</v>
      </c>
      <c r="G62" s="92"/>
      <c r="H62" s="92">
        <v>40</v>
      </c>
      <c r="I62" s="92">
        <v>0</v>
      </c>
      <c r="J62" s="92">
        <v>22</v>
      </c>
      <c r="K62" s="93">
        <v>8727</v>
      </c>
      <c r="L62" s="93">
        <f t="shared" si="0"/>
        <v>191994</v>
      </c>
      <c r="M62" s="92" t="s">
        <v>692</v>
      </c>
      <c r="N62" s="92" t="s">
        <v>693</v>
      </c>
      <c r="O62" s="95" t="s">
        <v>694</v>
      </c>
    </row>
    <row r="63" spans="1:15" ht="15" customHeight="1" x14ac:dyDescent="0.25">
      <c r="A63" s="91" t="s">
        <v>891</v>
      </c>
      <c r="B63" s="92" t="s">
        <v>720</v>
      </c>
      <c r="C63" s="92" t="s">
        <v>103</v>
      </c>
      <c r="D63" s="92" t="s">
        <v>787</v>
      </c>
      <c r="E63" s="92" t="s">
        <v>892</v>
      </c>
      <c r="F63" s="92" t="s">
        <v>885</v>
      </c>
      <c r="G63" s="92" t="s">
        <v>885</v>
      </c>
      <c r="H63" s="92">
        <v>24</v>
      </c>
      <c r="I63" s="92">
        <v>0</v>
      </c>
      <c r="J63" s="92">
        <v>131</v>
      </c>
      <c r="K63" s="93">
        <v>55792</v>
      </c>
      <c r="L63" s="93">
        <f t="shared" si="0"/>
        <v>7308752</v>
      </c>
      <c r="M63" s="94" t="s">
        <v>727</v>
      </c>
      <c r="N63" s="92" t="s">
        <v>708</v>
      </c>
      <c r="O63" s="96" t="s">
        <v>728</v>
      </c>
    </row>
    <row r="64" spans="1:15" ht="15" customHeight="1" x14ac:dyDescent="0.25">
      <c r="A64" s="91" t="s">
        <v>893</v>
      </c>
      <c r="B64" s="92" t="s">
        <v>710</v>
      </c>
      <c r="C64" s="92" t="s">
        <v>96</v>
      </c>
      <c r="D64" s="92" t="s">
        <v>689</v>
      </c>
      <c r="E64" s="92" t="s">
        <v>894</v>
      </c>
      <c r="F64" s="92" t="s">
        <v>866</v>
      </c>
      <c r="G64" s="92"/>
      <c r="H64" s="92">
        <v>44</v>
      </c>
      <c r="I64" s="92">
        <v>0</v>
      </c>
      <c r="J64" s="92">
        <v>267</v>
      </c>
      <c r="K64" s="93">
        <v>29011</v>
      </c>
      <c r="L64" s="93">
        <f t="shared" si="0"/>
        <v>7745937</v>
      </c>
      <c r="M64" s="92" t="s">
        <v>692</v>
      </c>
      <c r="N64" s="92" t="s">
        <v>742</v>
      </c>
      <c r="O64" s="95" t="s">
        <v>694</v>
      </c>
    </row>
    <row r="65" spans="1:15" ht="15" customHeight="1" x14ac:dyDescent="0.25">
      <c r="A65" s="91" t="s">
        <v>895</v>
      </c>
      <c r="B65" s="92" t="s">
        <v>720</v>
      </c>
      <c r="C65" s="92" t="s">
        <v>103</v>
      </c>
      <c r="D65" s="92" t="s">
        <v>731</v>
      </c>
      <c r="E65" s="92" t="s">
        <v>896</v>
      </c>
      <c r="F65" s="92" t="s">
        <v>897</v>
      </c>
      <c r="G65" s="92"/>
      <c r="H65" s="92">
        <v>7</v>
      </c>
      <c r="I65" s="92">
        <v>0</v>
      </c>
      <c r="J65" s="92">
        <v>7</v>
      </c>
      <c r="K65" s="93">
        <v>35251</v>
      </c>
      <c r="L65" s="93">
        <f t="shared" si="0"/>
        <v>246757</v>
      </c>
      <c r="M65" s="92" t="s">
        <v>692</v>
      </c>
      <c r="N65" s="92" t="s">
        <v>693</v>
      </c>
      <c r="O65" s="95" t="s">
        <v>694</v>
      </c>
    </row>
    <row r="66" spans="1:15" ht="15" customHeight="1" x14ac:dyDescent="0.25">
      <c r="A66" s="91" t="s">
        <v>898</v>
      </c>
      <c r="B66" s="92" t="s">
        <v>696</v>
      </c>
      <c r="C66" s="92" t="s">
        <v>96</v>
      </c>
      <c r="D66" s="92" t="s">
        <v>697</v>
      </c>
      <c r="E66" s="92" t="s">
        <v>747</v>
      </c>
      <c r="F66" s="92" t="s">
        <v>899</v>
      </c>
      <c r="G66" s="92" t="s">
        <v>899</v>
      </c>
      <c r="H66" s="92">
        <v>29</v>
      </c>
      <c r="I66" s="92">
        <v>0</v>
      </c>
      <c r="J66" s="92">
        <v>18</v>
      </c>
      <c r="K66" s="93">
        <v>2503</v>
      </c>
      <c r="L66" s="93">
        <f t="shared" ref="L66:L129" si="1">J66*K66</f>
        <v>45054</v>
      </c>
      <c r="M66" s="94" t="s">
        <v>727</v>
      </c>
      <c r="N66" s="92" t="s">
        <v>714</v>
      </c>
      <c r="O66" s="96" t="s">
        <v>728</v>
      </c>
    </row>
    <row r="67" spans="1:15" ht="15" customHeight="1" x14ac:dyDescent="0.25">
      <c r="A67" s="91" t="s">
        <v>900</v>
      </c>
      <c r="B67" s="92" t="s">
        <v>735</v>
      </c>
      <c r="C67" s="92" t="s">
        <v>51</v>
      </c>
      <c r="D67" s="92" t="s">
        <v>689</v>
      </c>
      <c r="E67" s="92" t="s">
        <v>901</v>
      </c>
      <c r="F67" s="92" t="s">
        <v>902</v>
      </c>
      <c r="G67" s="92"/>
      <c r="H67" s="92">
        <v>45</v>
      </c>
      <c r="I67" s="92">
        <v>0</v>
      </c>
      <c r="J67" s="92">
        <v>363</v>
      </c>
      <c r="K67" s="93">
        <v>81434</v>
      </c>
      <c r="L67" s="93">
        <f t="shared" si="1"/>
        <v>29560542</v>
      </c>
      <c r="M67" s="92" t="s">
        <v>692</v>
      </c>
      <c r="N67" s="92" t="s">
        <v>714</v>
      </c>
      <c r="O67" s="95" t="s">
        <v>694</v>
      </c>
    </row>
    <row r="68" spans="1:15" ht="15" customHeight="1" x14ac:dyDescent="0.25">
      <c r="A68" s="91" t="s">
        <v>903</v>
      </c>
      <c r="B68" s="92" t="s">
        <v>730</v>
      </c>
      <c r="C68" s="92" t="s">
        <v>131</v>
      </c>
      <c r="D68" s="92" t="s">
        <v>711</v>
      </c>
      <c r="E68" s="92" t="s">
        <v>904</v>
      </c>
      <c r="F68" s="92" t="s">
        <v>905</v>
      </c>
      <c r="G68" s="92"/>
      <c r="H68" s="92">
        <v>31</v>
      </c>
      <c r="I68" s="92">
        <v>0</v>
      </c>
      <c r="J68" s="92">
        <v>461</v>
      </c>
      <c r="K68" s="93">
        <v>55248</v>
      </c>
      <c r="L68" s="93">
        <f t="shared" si="1"/>
        <v>25469328</v>
      </c>
      <c r="M68" s="92" t="s">
        <v>692</v>
      </c>
      <c r="N68" s="92" t="s">
        <v>742</v>
      </c>
      <c r="O68" s="95" t="s">
        <v>694</v>
      </c>
    </row>
    <row r="69" spans="1:15" ht="15" customHeight="1" x14ac:dyDescent="0.25">
      <c r="A69" s="91" t="s">
        <v>906</v>
      </c>
      <c r="B69" s="92" t="s">
        <v>696</v>
      </c>
      <c r="C69" s="92" t="s">
        <v>96</v>
      </c>
      <c r="D69" s="92" t="s">
        <v>711</v>
      </c>
      <c r="E69" s="92" t="s">
        <v>733</v>
      </c>
      <c r="F69" s="92" t="s">
        <v>907</v>
      </c>
      <c r="G69" s="92" t="s">
        <v>908</v>
      </c>
      <c r="H69" s="92">
        <v>23</v>
      </c>
      <c r="I69" s="92">
        <v>11</v>
      </c>
      <c r="J69" s="92">
        <v>328</v>
      </c>
      <c r="K69" s="93">
        <v>38816</v>
      </c>
      <c r="L69" s="93">
        <f t="shared" si="1"/>
        <v>12731648</v>
      </c>
      <c r="M69" s="94" t="s">
        <v>727</v>
      </c>
      <c r="N69" s="92" t="s">
        <v>701</v>
      </c>
      <c r="O69" s="96" t="s">
        <v>778</v>
      </c>
    </row>
    <row r="70" spans="1:15" ht="15" customHeight="1" x14ac:dyDescent="0.25">
      <c r="A70" s="91" t="s">
        <v>909</v>
      </c>
      <c r="B70" s="92" t="s">
        <v>739</v>
      </c>
      <c r="C70" s="92" t="s">
        <v>51</v>
      </c>
      <c r="D70" s="92" t="s">
        <v>705</v>
      </c>
      <c r="E70" s="92" t="s">
        <v>910</v>
      </c>
      <c r="F70" s="92" t="s">
        <v>911</v>
      </c>
      <c r="G70" s="92" t="s">
        <v>911</v>
      </c>
      <c r="H70" s="92">
        <v>23</v>
      </c>
      <c r="I70" s="92">
        <v>0</v>
      </c>
      <c r="J70" s="92">
        <v>32</v>
      </c>
      <c r="K70" s="93">
        <v>32847</v>
      </c>
      <c r="L70" s="93">
        <f t="shared" si="1"/>
        <v>1051104</v>
      </c>
      <c r="M70" s="94" t="s">
        <v>727</v>
      </c>
      <c r="N70" s="92" t="s">
        <v>701</v>
      </c>
      <c r="O70" s="96" t="s">
        <v>728</v>
      </c>
    </row>
    <row r="71" spans="1:15" ht="15" customHeight="1" x14ac:dyDescent="0.25">
      <c r="A71" s="91" t="s">
        <v>912</v>
      </c>
      <c r="B71" s="92" t="s">
        <v>735</v>
      </c>
      <c r="C71" s="92" t="s">
        <v>51</v>
      </c>
      <c r="D71" s="92" t="s">
        <v>724</v>
      </c>
      <c r="E71" s="92" t="s">
        <v>913</v>
      </c>
      <c r="F71" s="92" t="s">
        <v>871</v>
      </c>
      <c r="G71" s="92" t="s">
        <v>871</v>
      </c>
      <c r="H71" s="92">
        <v>23</v>
      </c>
      <c r="I71" s="92">
        <v>0</v>
      </c>
      <c r="J71" s="92">
        <v>476</v>
      </c>
      <c r="K71" s="93">
        <v>17457</v>
      </c>
      <c r="L71" s="93">
        <f t="shared" si="1"/>
        <v>8309532</v>
      </c>
      <c r="M71" s="94" t="s">
        <v>727</v>
      </c>
      <c r="N71" s="92" t="s">
        <v>708</v>
      </c>
      <c r="O71" s="96" t="s">
        <v>728</v>
      </c>
    </row>
    <row r="72" spans="1:15" ht="15" customHeight="1" x14ac:dyDescent="0.25">
      <c r="A72" s="91" t="s">
        <v>914</v>
      </c>
      <c r="B72" s="92" t="s">
        <v>780</v>
      </c>
      <c r="C72" s="92" t="s">
        <v>86</v>
      </c>
      <c r="D72" s="92" t="s">
        <v>697</v>
      </c>
      <c r="E72" s="92" t="s">
        <v>915</v>
      </c>
      <c r="F72" s="92" t="s">
        <v>768</v>
      </c>
      <c r="G72" s="92" t="s">
        <v>768</v>
      </c>
      <c r="H72" s="92">
        <v>13</v>
      </c>
      <c r="I72" s="92">
        <v>0</v>
      </c>
      <c r="J72" s="92">
        <v>315</v>
      </c>
      <c r="K72" s="93">
        <v>54862</v>
      </c>
      <c r="L72" s="93">
        <f t="shared" si="1"/>
        <v>17281530</v>
      </c>
      <c r="M72" s="94" t="s">
        <v>727</v>
      </c>
      <c r="N72" s="92" t="s">
        <v>708</v>
      </c>
      <c r="O72" s="96" t="s">
        <v>728</v>
      </c>
    </row>
    <row r="73" spans="1:15" ht="15" customHeight="1" x14ac:dyDescent="0.25">
      <c r="A73" s="91" t="s">
        <v>916</v>
      </c>
      <c r="B73" s="92" t="s">
        <v>703</v>
      </c>
      <c r="C73" s="92" t="s">
        <v>704</v>
      </c>
      <c r="D73" s="92" t="s">
        <v>716</v>
      </c>
      <c r="E73" s="92" t="s">
        <v>917</v>
      </c>
      <c r="F73" s="92" t="s">
        <v>918</v>
      </c>
      <c r="G73" s="92" t="s">
        <v>918</v>
      </c>
      <c r="H73" s="92">
        <v>9</v>
      </c>
      <c r="I73" s="92">
        <v>0</v>
      </c>
      <c r="J73" s="92">
        <v>398</v>
      </c>
      <c r="K73" s="93">
        <v>38177</v>
      </c>
      <c r="L73" s="93">
        <f t="shared" si="1"/>
        <v>15194446</v>
      </c>
      <c r="M73" s="94" t="s">
        <v>727</v>
      </c>
      <c r="N73" s="92" t="s">
        <v>708</v>
      </c>
      <c r="O73" s="96" t="s">
        <v>728</v>
      </c>
    </row>
    <row r="74" spans="1:15" ht="15" customHeight="1" x14ac:dyDescent="0.25">
      <c r="A74" s="91" t="s">
        <v>919</v>
      </c>
      <c r="B74" s="92" t="s">
        <v>780</v>
      </c>
      <c r="C74" s="92" t="s">
        <v>86</v>
      </c>
      <c r="D74" s="92" t="s">
        <v>731</v>
      </c>
      <c r="E74" s="92" t="s">
        <v>920</v>
      </c>
      <c r="F74" s="92" t="s">
        <v>921</v>
      </c>
      <c r="G74" s="92"/>
      <c r="H74" s="92">
        <v>9</v>
      </c>
      <c r="I74" s="92">
        <v>0</v>
      </c>
      <c r="J74" s="92">
        <v>137</v>
      </c>
      <c r="K74" s="93">
        <v>13311</v>
      </c>
      <c r="L74" s="93">
        <f t="shared" si="1"/>
        <v>1823607</v>
      </c>
      <c r="M74" s="92" t="s">
        <v>692</v>
      </c>
      <c r="N74" s="92" t="s">
        <v>701</v>
      </c>
      <c r="O74" s="95" t="s">
        <v>694</v>
      </c>
    </row>
    <row r="75" spans="1:15" ht="15" customHeight="1" x14ac:dyDescent="0.25">
      <c r="A75" s="91" t="s">
        <v>922</v>
      </c>
      <c r="B75" s="92" t="s">
        <v>739</v>
      </c>
      <c r="C75" s="92" t="s">
        <v>51</v>
      </c>
      <c r="D75" s="92" t="s">
        <v>731</v>
      </c>
      <c r="E75" s="92" t="s">
        <v>923</v>
      </c>
      <c r="F75" s="92" t="s">
        <v>910</v>
      </c>
      <c r="G75" s="92"/>
      <c r="H75" s="92">
        <v>39</v>
      </c>
      <c r="I75" s="92">
        <v>0</v>
      </c>
      <c r="J75" s="92">
        <v>395</v>
      </c>
      <c r="K75" s="93">
        <v>41962</v>
      </c>
      <c r="L75" s="93">
        <f t="shared" si="1"/>
        <v>16574990</v>
      </c>
      <c r="M75" s="92" t="s">
        <v>692</v>
      </c>
      <c r="N75" s="92" t="s">
        <v>708</v>
      </c>
      <c r="O75" s="95" t="s">
        <v>694</v>
      </c>
    </row>
    <row r="76" spans="1:15" ht="15" customHeight="1" x14ac:dyDescent="0.25">
      <c r="A76" s="91" t="s">
        <v>924</v>
      </c>
      <c r="B76" s="92" t="s">
        <v>739</v>
      </c>
      <c r="C76" s="92" t="s">
        <v>51</v>
      </c>
      <c r="D76" s="92" t="s">
        <v>716</v>
      </c>
      <c r="E76" s="92" t="s">
        <v>925</v>
      </c>
      <c r="F76" s="92" t="s">
        <v>923</v>
      </c>
      <c r="G76" s="92" t="s">
        <v>926</v>
      </c>
      <c r="H76" s="92">
        <v>41</v>
      </c>
      <c r="I76" s="92">
        <v>7</v>
      </c>
      <c r="J76" s="92">
        <v>419</v>
      </c>
      <c r="K76" s="93">
        <v>66396</v>
      </c>
      <c r="L76" s="93">
        <f t="shared" si="1"/>
        <v>27819924</v>
      </c>
      <c r="M76" s="94" t="s">
        <v>727</v>
      </c>
      <c r="N76" s="92" t="s">
        <v>714</v>
      </c>
      <c r="O76" s="96" t="s">
        <v>778</v>
      </c>
    </row>
    <row r="77" spans="1:15" ht="15" customHeight="1" x14ac:dyDescent="0.25">
      <c r="A77" s="91" t="s">
        <v>927</v>
      </c>
      <c r="B77" s="92" t="s">
        <v>730</v>
      </c>
      <c r="C77" s="92" t="s">
        <v>131</v>
      </c>
      <c r="D77" s="92" t="s">
        <v>705</v>
      </c>
      <c r="E77" s="92" t="s">
        <v>928</v>
      </c>
      <c r="F77" s="92" t="s">
        <v>791</v>
      </c>
      <c r="G77" s="92"/>
      <c r="H77" s="92">
        <v>28</v>
      </c>
      <c r="I77" s="92">
        <v>0</v>
      </c>
      <c r="J77" s="92">
        <v>206</v>
      </c>
      <c r="K77" s="93">
        <v>5164</v>
      </c>
      <c r="L77" s="93">
        <f t="shared" si="1"/>
        <v>1063784</v>
      </c>
      <c r="M77" s="92" t="s">
        <v>692</v>
      </c>
      <c r="N77" s="92" t="s">
        <v>714</v>
      </c>
      <c r="O77" s="95" t="s">
        <v>694</v>
      </c>
    </row>
    <row r="78" spans="1:15" ht="15" customHeight="1" x14ac:dyDescent="0.25">
      <c r="A78" s="91" t="s">
        <v>929</v>
      </c>
      <c r="B78" s="92" t="s">
        <v>720</v>
      </c>
      <c r="C78" s="92" t="s">
        <v>103</v>
      </c>
      <c r="D78" s="92" t="s">
        <v>705</v>
      </c>
      <c r="E78" s="92" t="s">
        <v>930</v>
      </c>
      <c r="F78" s="92" t="s">
        <v>875</v>
      </c>
      <c r="G78" s="92"/>
      <c r="H78" s="92">
        <v>12</v>
      </c>
      <c r="I78" s="92">
        <v>0</v>
      </c>
      <c r="J78" s="92">
        <v>390</v>
      </c>
      <c r="K78" s="93">
        <v>65270</v>
      </c>
      <c r="L78" s="93">
        <f t="shared" si="1"/>
        <v>25455300</v>
      </c>
      <c r="M78" s="94" t="s">
        <v>759</v>
      </c>
      <c r="N78" s="92" t="s">
        <v>742</v>
      </c>
      <c r="O78" s="95" t="s">
        <v>694</v>
      </c>
    </row>
    <row r="79" spans="1:15" ht="15" customHeight="1" x14ac:dyDescent="0.25">
      <c r="A79" s="91" t="s">
        <v>931</v>
      </c>
      <c r="B79" s="92" t="s">
        <v>780</v>
      </c>
      <c r="C79" s="92" t="s">
        <v>86</v>
      </c>
      <c r="D79" s="92" t="s">
        <v>731</v>
      </c>
      <c r="E79" s="92" t="s">
        <v>932</v>
      </c>
      <c r="F79" s="92" t="s">
        <v>933</v>
      </c>
      <c r="G79" s="92"/>
      <c r="H79" s="92">
        <v>31</v>
      </c>
      <c r="I79" s="92">
        <v>0</v>
      </c>
      <c r="J79" s="92">
        <v>154</v>
      </c>
      <c r="K79" s="93">
        <v>59302</v>
      </c>
      <c r="L79" s="93">
        <f t="shared" si="1"/>
        <v>9132508</v>
      </c>
      <c r="M79" s="92" t="s">
        <v>692</v>
      </c>
      <c r="N79" s="92" t="s">
        <v>714</v>
      </c>
      <c r="O79" s="95" t="s">
        <v>694</v>
      </c>
    </row>
    <row r="80" spans="1:15" ht="15" customHeight="1" x14ac:dyDescent="0.25">
      <c r="A80" s="91" t="s">
        <v>934</v>
      </c>
      <c r="B80" s="92" t="s">
        <v>720</v>
      </c>
      <c r="C80" s="92" t="s">
        <v>103</v>
      </c>
      <c r="D80" s="92" t="s">
        <v>697</v>
      </c>
      <c r="E80" s="92" t="s">
        <v>764</v>
      </c>
      <c r="F80" s="92" t="s">
        <v>935</v>
      </c>
      <c r="G80" s="92"/>
      <c r="H80" s="92">
        <v>12</v>
      </c>
      <c r="I80" s="92">
        <v>0</v>
      </c>
      <c r="J80" s="92">
        <v>225</v>
      </c>
      <c r="K80" s="93">
        <v>62635</v>
      </c>
      <c r="L80" s="93">
        <f t="shared" si="1"/>
        <v>14092875</v>
      </c>
      <c r="M80" s="94" t="s">
        <v>759</v>
      </c>
      <c r="N80" s="92" t="s">
        <v>742</v>
      </c>
      <c r="O80" s="95" t="s">
        <v>694</v>
      </c>
    </row>
    <row r="81" spans="1:15" ht="15" customHeight="1" x14ac:dyDescent="0.25">
      <c r="A81" s="91" t="s">
        <v>936</v>
      </c>
      <c r="B81" s="92" t="s">
        <v>735</v>
      </c>
      <c r="C81" s="92" t="s">
        <v>51</v>
      </c>
      <c r="D81" s="92" t="s">
        <v>689</v>
      </c>
      <c r="E81" s="92" t="s">
        <v>937</v>
      </c>
      <c r="F81" s="92" t="s">
        <v>938</v>
      </c>
      <c r="G81" s="92"/>
      <c r="H81" s="92">
        <v>8</v>
      </c>
      <c r="I81" s="92">
        <v>0</v>
      </c>
      <c r="J81" s="92">
        <v>304</v>
      </c>
      <c r="K81" s="93">
        <v>20652</v>
      </c>
      <c r="L81" s="93">
        <f t="shared" si="1"/>
        <v>6278208</v>
      </c>
      <c r="M81" s="92" t="s">
        <v>692</v>
      </c>
      <c r="N81" s="92" t="s">
        <v>708</v>
      </c>
      <c r="O81" s="95" t="s">
        <v>694</v>
      </c>
    </row>
    <row r="82" spans="1:15" ht="15" customHeight="1" x14ac:dyDescent="0.25">
      <c r="A82" s="91" t="s">
        <v>939</v>
      </c>
      <c r="B82" s="92" t="s">
        <v>696</v>
      </c>
      <c r="C82" s="92" t="s">
        <v>96</v>
      </c>
      <c r="D82" s="92" t="s">
        <v>724</v>
      </c>
      <c r="E82" s="92" t="s">
        <v>937</v>
      </c>
      <c r="F82" s="92" t="s">
        <v>940</v>
      </c>
      <c r="G82" s="92" t="s">
        <v>940</v>
      </c>
      <c r="H82" s="92">
        <v>38</v>
      </c>
      <c r="I82" s="92">
        <v>0</v>
      </c>
      <c r="J82" s="92">
        <v>495</v>
      </c>
      <c r="K82" s="93">
        <v>84648</v>
      </c>
      <c r="L82" s="93">
        <f t="shared" si="1"/>
        <v>41900760</v>
      </c>
      <c r="M82" s="94" t="s">
        <v>727</v>
      </c>
      <c r="N82" s="92" t="s">
        <v>714</v>
      </c>
      <c r="O82" s="96" t="s">
        <v>728</v>
      </c>
    </row>
    <row r="83" spans="1:15" ht="15" customHeight="1" x14ac:dyDescent="0.25">
      <c r="A83" s="91" t="s">
        <v>941</v>
      </c>
      <c r="B83" s="92" t="s">
        <v>720</v>
      </c>
      <c r="C83" s="92" t="s">
        <v>103</v>
      </c>
      <c r="D83" s="92" t="s">
        <v>731</v>
      </c>
      <c r="E83" s="92" t="s">
        <v>744</v>
      </c>
      <c r="F83" s="92" t="s">
        <v>942</v>
      </c>
      <c r="G83" s="92"/>
      <c r="H83" s="92">
        <v>28</v>
      </c>
      <c r="I83" s="92">
        <v>0</v>
      </c>
      <c r="J83" s="92">
        <v>22</v>
      </c>
      <c r="K83" s="93">
        <v>34765</v>
      </c>
      <c r="L83" s="93">
        <f t="shared" si="1"/>
        <v>764830</v>
      </c>
      <c r="M83" s="92" t="s">
        <v>692</v>
      </c>
      <c r="N83" s="92" t="s">
        <v>742</v>
      </c>
      <c r="O83" s="95" t="s">
        <v>694</v>
      </c>
    </row>
    <row r="84" spans="1:15" ht="15" customHeight="1" x14ac:dyDescent="0.25">
      <c r="A84" s="91" t="s">
        <v>943</v>
      </c>
      <c r="B84" s="92" t="s">
        <v>688</v>
      </c>
      <c r="C84" s="92" t="s">
        <v>68</v>
      </c>
      <c r="D84" s="92" t="s">
        <v>697</v>
      </c>
      <c r="E84" s="92" t="s">
        <v>944</v>
      </c>
      <c r="F84" s="92" t="s">
        <v>945</v>
      </c>
      <c r="G84" s="92" t="s">
        <v>945</v>
      </c>
      <c r="H84" s="92">
        <v>41</v>
      </c>
      <c r="I84" s="92">
        <v>0</v>
      </c>
      <c r="J84" s="92">
        <v>37</v>
      </c>
      <c r="K84" s="93">
        <v>3616</v>
      </c>
      <c r="L84" s="93">
        <f t="shared" si="1"/>
        <v>133792</v>
      </c>
      <c r="M84" s="94" t="s">
        <v>727</v>
      </c>
      <c r="N84" s="92" t="s">
        <v>742</v>
      </c>
      <c r="O84" s="96" t="s">
        <v>728</v>
      </c>
    </row>
    <row r="85" spans="1:15" ht="15" customHeight="1" x14ac:dyDescent="0.25">
      <c r="A85" s="91" t="s">
        <v>946</v>
      </c>
      <c r="B85" s="92" t="s">
        <v>710</v>
      </c>
      <c r="C85" s="92" t="s">
        <v>96</v>
      </c>
      <c r="D85" s="92" t="s">
        <v>731</v>
      </c>
      <c r="E85" s="92" t="s">
        <v>947</v>
      </c>
      <c r="F85" s="92" t="s">
        <v>948</v>
      </c>
      <c r="G85" s="92"/>
      <c r="H85" s="92">
        <v>37</v>
      </c>
      <c r="I85" s="92">
        <v>0</v>
      </c>
      <c r="J85" s="92">
        <v>317</v>
      </c>
      <c r="K85" s="93">
        <v>4370</v>
      </c>
      <c r="L85" s="93">
        <f t="shared" si="1"/>
        <v>1385290</v>
      </c>
      <c r="M85" s="94" t="s">
        <v>759</v>
      </c>
      <c r="N85" s="92" t="s">
        <v>742</v>
      </c>
      <c r="O85" s="95" t="s">
        <v>694</v>
      </c>
    </row>
    <row r="86" spans="1:15" ht="15" customHeight="1" x14ac:dyDescent="0.25">
      <c r="A86" s="91" t="s">
        <v>949</v>
      </c>
      <c r="B86" s="92" t="s">
        <v>735</v>
      </c>
      <c r="C86" s="92" t="s">
        <v>51</v>
      </c>
      <c r="D86" s="92" t="s">
        <v>711</v>
      </c>
      <c r="E86" s="92" t="s">
        <v>950</v>
      </c>
      <c r="F86" s="92" t="s">
        <v>951</v>
      </c>
      <c r="G86" s="92"/>
      <c r="H86" s="92">
        <v>10</v>
      </c>
      <c r="I86" s="92">
        <v>0</v>
      </c>
      <c r="J86" s="92">
        <v>421</v>
      </c>
      <c r="K86" s="93">
        <v>67567</v>
      </c>
      <c r="L86" s="93">
        <f t="shared" si="1"/>
        <v>28445707</v>
      </c>
      <c r="M86" s="94" t="s">
        <v>759</v>
      </c>
      <c r="N86" s="92" t="s">
        <v>708</v>
      </c>
      <c r="O86" s="95" t="s">
        <v>694</v>
      </c>
    </row>
    <row r="87" spans="1:15" ht="15" customHeight="1" x14ac:dyDescent="0.25">
      <c r="A87" s="91" t="s">
        <v>952</v>
      </c>
      <c r="B87" s="92" t="s">
        <v>730</v>
      </c>
      <c r="C87" s="92" t="s">
        <v>131</v>
      </c>
      <c r="D87" s="92" t="s">
        <v>711</v>
      </c>
      <c r="E87" s="92" t="s">
        <v>736</v>
      </c>
      <c r="F87" s="92" t="s">
        <v>953</v>
      </c>
      <c r="G87" s="92" t="s">
        <v>953</v>
      </c>
      <c r="H87" s="92">
        <v>44</v>
      </c>
      <c r="I87" s="92">
        <v>0</v>
      </c>
      <c r="J87" s="92">
        <v>255</v>
      </c>
      <c r="K87" s="93">
        <v>50776</v>
      </c>
      <c r="L87" s="93">
        <f t="shared" si="1"/>
        <v>12947880</v>
      </c>
      <c r="M87" s="94" t="s">
        <v>727</v>
      </c>
      <c r="N87" s="92" t="s">
        <v>693</v>
      </c>
      <c r="O87" s="96" t="s">
        <v>728</v>
      </c>
    </row>
    <row r="88" spans="1:15" ht="15" customHeight="1" x14ac:dyDescent="0.25">
      <c r="A88" s="91" t="s">
        <v>954</v>
      </c>
      <c r="B88" s="92" t="s">
        <v>753</v>
      </c>
      <c r="C88" s="92" t="s">
        <v>51</v>
      </c>
      <c r="D88" s="92" t="s">
        <v>716</v>
      </c>
      <c r="E88" s="92" t="s">
        <v>762</v>
      </c>
      <c r="F88" s="92" t="s">
        <v>955</v>
      </c>
      <c r="G88" s="92" t="s">
        <v>955</v>
      </c>
      <c r="H88" s="92">
        <v>19</v>
      </c>
      <c r="I88" s="92">
        <v>0</v>
      </c>
      <c r="J88" s="92">
        <v>378</v>
      </c>
      <c r="K88" s="93">
        <v>57825</v>
      </c>
      <c r="L88" s="93">
        <f t="shared" si="1"/>
        <v>21857850</v>
      </c>
      <c r="M88" s="94" t="s">
        <v>727</v>
      </c>
      <c r="N88" s="92" t="s">
        <v>701</v>
      </c>
      <c r="O88" s="96" t="s">
        <v>728</v>
      </c>
    </row>
    <row r="89" spans="1:15" ht="15" customHeight="1" x14ac:dyDescent="0.25">
      <c r="A89" s="91" t="s">
        <v>956</v>
      </c>
      <c r="B89" s="92" t="s">
        <v>696</v>
      </c>
      <c r="C89" s="92" t="s">
        <v>96</v>
      </c>
      <c r="D89" s="92" t="s">
        <v>711</v>
      </c>
      <c r="E89" s="92" t="s">
        <v>957</v>
      </c>
      <c r="F89" s="92" t="s">
        <v>836</v>
      </c>
      <c r="G89" s="92"/>
      <c r="H89" s="92">
        <v>27</v>
      </c>
      <c r="I89" s="92">
        <v>0</v>
      </c>
      <c r="J89" s="92">
        <v>407</v>
      </c>
      <c r="K89" s="93">
        <v>18518</v>
      </c>
      <c r="L89" s="93">
        <f t="shared" si="1"/>
        <v>7536826</v>
      </c>
      <c r="M89" s="92" t="s">
        <v>692</v>
      </c>
      <c r="N89" s="92" t="s">
        <v>714</v>
      </c>
      <c r="O89" s="95" t="s">
        <v>694</v>
      </c>
    </row>
    <row r="90" spans="1:15" ht="15" customHeight="1" x14ac:dyDescent="0.25">
      <c r="A90" s="91" t="s">
        <v>958</v>
      </c>
      <c r="B90" s="92" t="s">
        <v>730</v>
      </c>
      <c r="C90" s="92" t="s">
        <v>131</v>
      </c>
      <c r="D90" s="92" t="s">
        <v>711</v>
      </c>
      <c r="E90" s="92" t="s">
        <v>959</v>
      </c>
      <c r="F90" s="92" t="s">
        <v>888</v>
      </c>
      <c r="G90" s="92" t="s">
        <v>888</v>
      </c>
      <c r="H90" s="92">
        <v>28</v>
      </c>
      <c r="I90" s="92">
        <v>0</v>
      </c>
      <c r="J90" s="92">
        <v>213</v>
      </c>
      <c r="K90" s="93">
        <v>14700</v>
      </c>
      <c r="L90" s="93">
        <f t="shared" si="1"/>
        <v>3131100</v>
      </c>
      <c r="M90" s="94" t="s">
        <v>727</v>
      </c>
      <c r="N90" s="92" t="s">
        <v>701</v>
      </c>
      <c r="O90" s="96" t="s">
        <v>728</v>
      </c>
    </row>
    <row r="91" spans="1:15" ht="15" customHeight="1" x14ac:dyDescent="0.25">
      <c r="A91" s="91" t="s">
        <v>960</v>
      </c>
      <c r="B91" s="92" t="s">
        <v>688</v>
      </c>
      <c r="C91" s="92" t="s">
        <v>68</v>
      </c>
      <c r="D91" s="92" t="s">
        <v>711</v>
      </c>
      <c r="E91" s="92" t="s">
        <v>961</v>
      </c>
      <c r="F91" s="92" t="s">
        <v>962</v>
      </c>
      <c r="G91" s="92" t="s">
        <v>962</v>
      </c>
      <c r="H91" s="92">
        <v>35</v>
      </c>
      <c r="I91" s="92">
        <v>0</v>
      </c>
      <c r="J91" s="92">
        <v>52</v>
      </c>
      <c r="K91" s="93">
        <v>67344</v>
      </c>
      <c r="L91" s="93">
        <f t="shared" si="1"/>
        <v>3501888</v>
      </c>
      <c r="M91" s="94" t="s">
        <v>727</v>
      </c>
      <c r="N91" s="92" t="s">
        <v>693</v>
      </c>
      <c r="O91" s="96" t="s">
        <v>728</v>
      </c>
    </row>
    <row r="92" spans="1:15" ht="15" customHeight="1" x14ac:dyDescent="0.25">
      <c r="A92" s="91" t="s">
        <v>963</v>
      </c>
      <c r="B92" s="92" t="s">
        <v>739</v>
      </c>
      <c r="C92" s="92" t="s">
        <v>51</v>
      </c>
      <c r="D92" s="92" t="s">
        <v>711</v>
      </c>
      <c r="E92" s="92" t="s">
        <v>964</v>
      </c>
      <c r="F92" s="92" t="s">
        <v>965</v>
      </c>
      <c r="G92" s="92"/>
      <c r="H92" s="92">
        <v>8</v>
      </c>
      <c r="I92" s="92">
        <v>0</v>
      </c>
      <c r="J92" s="92">
        <v>42</v>
      </c>
      <c r="K92" s="93">
        <v>1037</v>
      </c>
      <c r="L92" s="93">
        <f t="shared" si="1"/>
        <v>43554</v>
      </c>
      <c r="M92" s="94" t="s">
        <v>759</v>
      </c>
      <c r="N92" s="92" t="s">
        <v>742</v>
      </c>
      <c r="O92" s="95" t="s">
        <v>694</v>
      </c>
    </row>
    <row r="93" spans="1:15" ht="15" customHeight="1" x14ac:dyDescent="0.25">
      <c r="A93" s="91" t="s">
        <v>966</v>
      </c>
      <c r="B93" s="92" t="s">
        <v>696</v>
      </c>
      <c r="C93" s="92" t="s">
        <v>96</v>
      </c>
      <c r="D93" s="92" t="s">
        <v>724</v>
      </c>
      <c r="E93" s="92" t="s">
        <v>967</v>
      </c>
      <c r="F93" s="92" t="s">
        <v>968</v>
      </c>
      <c r="G93" s="92"/>
      <c r="H93" s="92">
        <v>33</v>
      </c>
      <c r="I93" s="92">
        <v>0</v>
      </c>
      <c r="J93" s="92">
        <v>406</v>
      </c>
      <c r="K93" s="93">
        <v>65782</v>
      </c>
      <c r="L93" s="93">
        <f t="shared" si="1"/>
        <v>26707492</v>
      </c>
      <c r="M93" s="92" t="s">
        <v>692</v>
      </c>
      <c r="N93" s="92" t="s">
        <v>742</v>
      </c>
      <c r="O93" s="95" t="s">
        <v>694</v>
      </c>
    </row>
    <row r="94" spans="1:15" ht="15" customHeight="1" x14ac:dyDescent="0.25">
      <c r="A94" s="91" t="s">
        <v>969</v>
      </c>
      <c r="B94" s="92" t="s">
        <v>753</v>
      </c>
      <c r="C94" s="92" t="s">
        <v>51</v>
      </c>
      <c r="D94" s="92" t="s">
        <v>711</v>
      </c>
      <c r="E94" s="92" t="s">
        <v>970</v>
      </c>
      <c r="F94" s="92" t="s">
        <v>971</v>
      </c>
      <c r="G94" s="92" t="s">
        <v>971</v>
      </c>
      <c r="H94" s="92">
        <v>24</v>
      </c>
      <c r="I94" s="92">
        <v>0</v>
      </c>
      <c r="J94" s="92">
        <v>90</v>
      </c>
      <c r="K94" s="93">
        <v>52090</v>
      </c>
      <c r="L94" s="93">
        <f t="shared" si="1"/>
        <v>4688100</v>
      </c>
      <c r="M94" s="94" t="s">
        <v>727</v>
      </c>
      <c r="N94" s="92" t="s">
        <v>714</v>
      </c>
      <c r="O94" s="96" t="s">
        <v>728</v>
      </c>
    </row>
    <row r="95" spans="1:15" ht="15" customHeight="1" x14ac:dyDescent="0.25">
      <c r="A95" s="91" t="s">
        <v>972</v>
      </c>
      <c r="B95" s="92" t="s">
        <v>730</v>
      </c>
      <c r="C95" s="92" t="s">
        <v>131</v>
      </c>
      <c r="D95" s="92" t="s">
        <v>711</v>
      </c>
      <c r="E95" s="92" t="s">
        <v>973</v>
      </c>
      <c r="F95" s="92" t="s">
        <v>974</v>
      </c>
      <c r="G95" s="92"/>
      <c r="H95" s="92">
        <v>38</v>
      </c>
      <c r="I95" s="92">
        <v>0</v>
      </c>
      <c r="J95" s="92">
        <v>46</v>
      </c>
      <c r="K95" s="93">
        <v>53498</v>
      </c>
      <c r="L95" s="93">
        <f t="shared" si="1"/>
        <v>2460908</v>
      </c>
      <c r="M95" s="92" t="s">
        <v>692</v>
      </c>
      <c r="N95" s="92" t="s">
        <v>701</v>
      </c>
      <c r="O95" s="95" t="s">
        <v>694</v>
      </c>
    </row>
    <row r="96" spans="1:15" ht="15" customHeight="1" x14ac:dyDescent="0.25">
      <c r="A96" s="91" t="s">
        <v>975</v>
      </c>
      <c r="B96" s="92" t="s">
        <v>720</v>
      </c>
      <c r="C96" s="92" t="s">
        <v>103</v>
      </c>
      <c r="D96" s="92" t="s">
        <v>787</v>
      </c>
      <c r="E96" s="92" t="s">
        <v>976</v>
      </c>
      <c r="F96" s="92" t="s">
        <v>977</v>
      </c>
      <c r="G96" s="92" t="s">
        <v>977</v>
      </c>
      <c r="H96" s="92">
        <v>7</v>
      </c>
      <c r="I96" s="92">
        <v>0</v>
      </c>
      <c r="J96" s="92">
        <v>272</v>
      </c>
      <c r="K96" s="93">
        <v>83039</v>
      </c>
      <c r="L96" s="93">
        <f t="shared" si="1"/>
        <v>22586608</v>
      </c>
      <c r="M96" s="94" t="s">
        <v>727</v>
      </c>
      <c r="N96" s="92" t="s">
        <v>693</v>
      </c>
      <c r="O96" s="96" t="s">
        <v>728</v>
      </c>
    </row>
    <row r="97" spans="1:15" ht="15" customHeight="1" x14ac:dyDescent="0.25">
      <c r="A97" s="91" t="s">
        <v>978</v>
      </c>
      <c r="B97" s="92" t="s">
        <v>720</v>
      </c>
      <c r="C97" s="92" t="s">
        <v>103</v>
      </c>
      <c r="D97" s="92" t="s">
        <v>689</v>
      </c>
      <c r="E97" s="92" t="s">
        <v>979</v>
      </c>
      <c r="F97" s="92" t="s">
        <v>980</v>
      </c>
      <c r="G97" s="92"/>
      <c r="H97" s="92">
        <v>36</v>
      </c>
      <c r="I97" s="92">
        <v>0</v>
      </c>
      <c r="J97" s="92">
        <v>338</v>
      </c>
      <c r="K97" s="93">
        <v>18085</v>
      </c>
      <c r="L97" s="93">
        <f t="shared" si="1"/>
        <v>6112730</v>
      </c>
      <c r="M97" s="92" t="s">
        <v>692</v>
      </c>
      <c r="N97" s="92" t="s">
        <v>714</v>
      </c>
      <c r="O97" s="95" t="s">
        <v>694</v>
      </c>
    </row>
    <row r="98" spans="1:15" ht="15" customHeight="1" x14ac:dyDescent="0.25">
      <c r="A98" s="91" t="s">
        <v>981</v>
      </c>
      <c r="B98" s="92" t="s">
        <v>753</v>
      </c>
      <c r="C98" s="92" t="s">
        <v>51</v>
      </c>
      <c r="D98" s="92" t="s">
        <v>716</v>
      </c>
      <c r="E98" s="92" t="s">
        <v>982</v>
      </c>
      <c r="F98" s="92" t="s">
        <v>983</v>
      </c>
      <c r="G98" s="92"/>
      <c r="H98" s="92">
        <v>16</v>
      </c>
      <c r="I98" s="92">
        <v>0</v>
      </c>
      <c r="J98" s="92">
        <v>496</v>
      </c>
      <c r="K98" s="93">
        <v>77520</v>
      </c>
      <c r="L98" s="93">
        <f t="shared" si="1"/>
        <v>38449920</v>
      </c>
      <c r="M98" s="92" t="s">
        <v>692</v>
      </c>
      <c r="N98" s="92" t="s">
        <v>708</v>
      </c>
      <c r="O98" s="95" t="s">
        <v>694</v>
      </c>
    </row>
    <row r="99" spans="1:15" ht="15" customHeight="1" x14ac:dyDescent="0.25">
      <c r="A99" s="91" t="s">
        <v>984</v>
      </c>
      <c r="B99" s="92" t="s">
        <v>780</v>
      </c>
      <c r="C99" s="92" t="s">
        <v>86</v>
      </c>
      <c r="D99" s="92" t="s">
        <v>711</v>
      </c>
      <c r="E99" s="92" t="s">
        <v>985</v>
      </c>
      <c r="F99" s="92" t="s">
        <v>406</v>
      </c>
      <c r="G99" s="92" t="s">
        <v>406</v>
      </c>
      <c r="H99" s="92">
        <v>9</v>
      </c>
      <c r="I99" s="92">
        <v>0</v>
      </c>
      <c r="J99" s="92">
        <v>223</v>
      </c>
      <c r="K99" s="93">
        <v>21742</v>
      </c>
      <c r="L99" s="93">
        <f t="shared" si="1"/>
        <v>4848466</v>
      </c>
      <c r="M99" s="94" t="s">
        <v>727</v>
      </c>
      <c r="N99" s="92" t="s">
        <v>693</v>
      </c>
      <c r="O99" s="96" t="s">
        <v>728</v>
      </c>
    </row>
    <row r="100" spans="1:15" ht="15" customHeight="1" x14ac:dyDescent="0.25">
      <c r="A100" s="91" t="s">
        <v>986</v>
      </c>
      <c r="B100" s="92" t="s">
        <v>710</v>
      </c>
      <c r="C100" s="92" t="s">
        <v>96</v>
      </c>
      <c r="D100" s="92" t="s">
        <v>731</v>
      </c>
      <c r="E100" s="92" t="s">
        <v>987</v>
      </c>
      <c r="F100" s="92" t="s">
        <v>988</v>
      </c>
      <c r="G100" s="92"/>
      <c r="H100" s="92">
        <v>13</v>
      </c>
      <c r="I100" s="92">
        <v>0</v>
      </c>
      <c r="J100" s="92">
        <v>474</v>
      </c>
      <c r="K100" s="93">
        <v>45907</v>
      </c>
      <c r="L100" s="93">
        <f t="shared" si="1"/>
        <v>21759918</v>
      </c>
      <c r="M100" s="92" t="s">
        <v>692</v>
      </c>
      <c r="N100" s="92" t="s">
        <v>742</v>
      </c>
      <c r="O100" s="95" t="s">
        <v>694</v>
      </c>
    </row>
    <row r="101" spans="1:15" ht="15" customHeight="1" x14ac:dyDescent="0.25">
      <c r="A101" s="91" t="s">
        <v>989</v>
      </c>
      <c r="B101" s="92" t="s">
        <v>735</v>
      </c>
      <c r="C101" s="92" t="s">
        <v>51</v>
      </c>
      <c r="D101" s="92" t="s">
        <v>697</v>
      </c>
      <c r="E101" s="92" t="s">
        <v>897</v>
      </c>
      <c r="F101" s="92" t="s">
        <v>990</v>
      </c>
      <c r="G101" s="92" t="s">
        <v>990</v>
      </c>
      <c r="H101" s="92">
        <v>39</v>
      </c>
      <c r="I101" s="92">
        <v>0</v>
      </c>
      <c r="J101" s="92">
        <v>304</v>
      </c>
      <c r="K101" s="93">
        <v>49490</v>
      </c>
      <c r="L101" s="93">
        <f t="shared" si="1"/>
        <v>15044960</v>
      </c>
      <c r="M101" s="94" t="s">
        <v>727</v>
      </c>
      <c r="N101" s="92" t="s">
        <v>708</v>
      </c>
      <c r="O101" s="96" t="s">
        <v>728</v>
      </c>
    </row>
    <row r="102" spans="1:15" ht="15" customHeight="1" x14ac:dyDescent="0.25">
      <c r="A102" s="91" t="s">
        <v>991</v>
      </c>
      <c r="B102" s="92" t="s">
        <v>753</v>
      </c>
      <c r="C102" s="92" t="s">
        <v>51</v>
      </c>
      <c r="D102" s="92" t="s">
        <v>705</v>
      </c>
      <c r="E102" s="92" t="s">
        <v>992</v>
      </c>
      <c r="F102" s="92" t="s">
        <v>993</v>
      </c>
      <c r="G102" s="92"/>
      <c r="H102" s="92">
        <v>21</v>
      </c>
      <c r="I102" s="92">
        <v>0</v>
      </c>
      <c r="J102" s="92">
        <v>167</v>
      </c>
      <c r="K102" s="93">
        <v>19748</v>
      </c>
      <c r="L102" s="93">
        <f t="shared" si="1"/>
        <v>3297916</v>
      </c>
      <c r="M102" s="92" t="s">
        <v>692</v>
      </c>
      <c r="N102" s="92" t="s">
        <v>742</v>
      </c>
      <c r="O102" s="95" t="s">
        <v>694</v>
      </c>
    </row>
    <row r="103" spans="1:15" ht="15" customHeight="1" x14ac:dyDescent="0.25">
      <c r="A103" s="91" t="s">
        <v>994</v>
      </c>
      <c r="B103" s="92" t="s">
        <v>739</v>
      </c>
      <c r="C103" s="92" t="s">
        <v>51</v>
      </c>
      <c r="D103" s="92" t="s">
        <v>689</v>
      </c>
      <c r="E103" s="92" t="s">
        <v>995</v>
      </c>
      <c r="F103" s="92" t="s">
        <v>833</v>
      </c>
      <c r="G103" s="92"/>
      <c r="H103" s="92">
        <v>31</v>
      </c>
      <c r="I103" s="92">
        <v>0</v>
      </c>
      <c r="J103" s="92">
        <v>38</v>
      </c>
      <c r="K103" s="93">
        <v>40299</v>
      </c>
      <c r="L103" s="93">
        <f t="shared" si="1"/>
        <v>1531362</v>
      </c>
      <c r="M103" s="94" t="s">
        <v>759</v>
      </c>
      <c r="N103" s="92" t="s">
        <v>708</v>
      </c>
      <c r="O103" s="95" t="s">
        <v>694</v>
      </c>
    </row>
    <row r="104" spans="1:15" ht="15" customHeight="1" x14ac:dyDescent="0.25">
      <c r="A104" s="91" t="s">
        <v>996</v>
      </c>
      <c r="B104" s="92" t="s">
        <v>735</v>
      </c>
      <c r="C104" s="92" t="s">
        <v>51</v>
      </c>
      <c r="D104" s="92" t="s">
        <v>787</v>
      </c>
      <c r="E104" s="92" t="s">
        <v>427</v>
      </c>
      <c r="F104" s="92" t="s">
        <v>997</v>
      </c>
      <c r="G104" s="92" t="s">
        <v>997</v>
      </c>
      <c r="H104" s="92">
        <v>16</v>
      </c>
      <c r="I104" s="92">
        <v>0</v>
      </c>
      <c r="J104" s="92">
        <v>199</v>
      </c>
      <c r="K104" s="93">
        <v>32059</v>
      </c>
      <c r="L104" s="93">
        <f t="shared" si="1"/>
        <v>6379741</v>
      </c>
      <c r="M104" s="94" t="s">
        <v>727</v>
      </c>
      <c r="N104" s="92" t="s">
        <v>708</v>
      </c>
      <c r="O104" s="96" t="s">
        <v>728</v>
      </c>
    </row>
    <row r="105" spans="1:15" ht="15" customHeight="1" x14ac:dyDescent="0.25">
      <c r="A105" s="91" t="s">
        <v>998</v>
      </c>
      <c r="B105" s="92" t="s">
        <v>753</v>
      </c>
      <c r="C105" s="92" t="s">
        <v>51</v>
      </c>
      <c r="D105" s="92" t="s">
        <v>705</v>
      </c>
      <c r="E105" s="92" t="s">
        <v>999</v>
      </c>
      <c r="F105" s="92" t="s">
        <v>1000</v>
      </c>
      <c r="G105" s="92" t="s">
        <v>1000</v>
      </c>
      <c r="H105" s="92">
        <v>24</v>
      </c>
      <c r="I105" s="92">
        <v>0</v>
      </c>
      <c r="J105" s="92">
        <v>292</v>
      </c>
      <c r="K105" s="93">
        <v>5541</v>
      </c>
      <c r="L105" s="93">
        <f t="shared" si="1"/>
        <v>1617972</v>
      </c>
      <c r="M105" s="94" t="s">
        <v>727</v>
      </c>
      <c r="N105" s="92" t="s">
        <v>742</v>
      </c>
      <c r="O105" s="96" t="s">
        <v>728</v>
      </c>
    </row>
    <row r="106" spans="1:15" ht="15" customHeight="1" x14ac:dyDescent="0.25">
      <c r="A106" s="91" t="s">
        <v>1001</v>
      </c>
      <c r="B106" s="92" t="s">
        <v>696</v>
      </c>
      <c r="C106" s="92" t="s">
        <v>96</v>
      </c>
      <c r="D106" s="92" t="s">
        <v>697</v>
      </c>
      <c r="E106" s="92" t="s">
        <v>1002</v>
      </c>
      <c r="F106" s="92" t="s">
        <v>1003</v>
      </c>
      <c r="G106" s="92" t="s">
        <v>1003</v>
      </c>
      <c r="H106" s="92">
        <v>36</v>
      </c>
      <c r="I106" s="92">
        <v>0</v>
      </c>
      <c r="J106" s="92">
        <v>454</v>
      </c>
      <c r="K106" s="93">
        <v>25441</v>
      </c>
      <c r="L106" s="93">
        <f t="shared" si="1"/>
        <v>11550214</v>
      </c>
      <c r="M106" s="94" t="s">
        <v>727</v>
      </c>
      <c r="N106" s="92" t="s">
        <v>742</v>
      </c>
      <c r="O106" s="96" t="s">
        <v>728</v>
      </c>
    </row>
    <row r="107" spans="1:15" ht="15" customHeight="1" x14ac:dyDescent="0.25">
      <c r="A107" s="91" t="s">
        <v>1004</v>
      </c>
      <c r="B107" s="92" t="s">
        <v>730</v>
      </c>
      <c r="C107" s="92" t="s">
        <v>131</v>
      </c>
      <c r="D107" s="92" t="s">
        <v>711</v>
      </c>
      <c r="E107" s="92" t="s">
        <v>842</v>
      </c>
      <c r="F107" s="92" t="s">
        <v>1005</v>
      </c>
      <c r="G107" s="92"/>
      <c r="H107" s="92">
        <v>43</v>
      </c>
      <c r="I107" s="92">
        <v>10</v>
      </c>
      <c r="J107" s="92">
        <v>45</v>
      </c>
      <c r="K107" s="93">
        <v>35288</v>
      </c>
      <c r="L107" s="93">
        <f t="shared" si="1"/>
        <v>1587960</v>
      </c>
      <c r="M107" s="94" t="s">
        <v>700</v>
      </c>
      <c r="N107" s="92" t="s">
        <v>693</v>
      </c>
      <c r="O107" s="95" t="s">
        <v>694</v>
      </c>
    </row>
    <row r="108" spans="1:15" ht="15" customHeight="1" x14ac:dyDescent="0.25">
      <c r="A108" s="91" t="s">
        <v>1006</v>
      </c>
      <c r="B108" s="92" t="s">
        <v>710</v>
      </c>
      <c r="C108" s="92" t="s">
        <v>96</v>
      </c>
      <c r="D108" s="92" t="s">
        <v>689</v>
      </c>
      <c r="E108" s="92" t="s">
        <v>1007</v>
      </c>
      <c r="F108" s="92" t="s">
        <v>1008</v>
      </c>
      <c r="G108" s="92" t="s">
        <v>1008</v>
      </c>
      <c r="H108" s="92">
        <v>44</v>
      </c>
      <c r="I108" s="92">
        <v>0</v>
      </c>
      <c r="J108" s="92">
        <v>374</v>
      </c>
      <c r="K108" s="93">
        <v>36675</v>
      </c>
      <c r="L108" s="93">
        <f t="shared" si="1"/>
        <v>13716450</v>
      </c>
      <c r="M108" s="94" t="s">
        <v>727</v>
      </c>
      <c r="N108" s="92" t="s">
        <v>742</v>
      </c>
      <c r="O108" s="96" t="s">
        <v>728</v>
      </c>
    </row>
    <row r="109" spans="1:15" ht="15" customHeight="1" x14ac:dyDescent="0.25">
      <c r="A109" s="91" t="s">
        <v>1009</v>
      </c>
      <c r="B109" s="92" t="s">
        <v>753</v>
      </c>
      <c r="C109" s="92" t="s">
        <v>51</v>
      </c>
      <c r="D109" s="92" t="s">
        <v>705</v>
      </c>
      <c r="E109" s="92" t="s">
        <v>338</v>
      </c>
      <c r="F109" s="92" t="s">
        <v>1010</v>
      </c>
      <c r="G109" s="92" t="s">
        <v>1011</v>
      </c>
      <c r="H109" s="92">
        <v>34</v>
      </c>
      <c r="I109" s="92">
        <v>10</v>
      </c>
      <c r="J109" s="92">
        <v>468</v>
      </c>
      <c r="K109" s="93">
        <v>48978</v>
      </c>
      <c r="L109" s="93">
        <f t="shared" si="1"/>
        <v>22921704</v>
      </c>
      <c r="M109" s="94" t="s">
        <v>727</v>
      </c>
      <c r="N109" s="92" t="s">
        <v>714</v>
      </c>
      <c r="O109" s="96" t="s">
        <v>778</v>
      </c>
    </row>
    <row r="110" spans="1:15" ht="15" customHeight="1" x14ac:dyDescent="0.25">
      <c r="A110" s="91" t="s">
        <v>1012</v>
      </c>
      <c r="B110" s="92" t="s">
        <v>739</v>
      </c>
      <c r="C110" s="92" t="s">
        <v>51</v>
      </c>
      <c r="D110" s="92" t="s">
        <v>731</v>
      </c>
      <c r="E110" s="92" t="s">
        <v>1013</v>
      </c>
      <c r="F110" s="92" t="s">
        <v>1014</v>
      </c>
      <c r="G110" s="92"/>
      <c r="H110" s="92">
        <v>9</v>
      </c>
      <c r="I110" s="92">
        <v>19</v>
      </c>
      <c r="J110" s="92">
        <v>18</v>
      </c>
      <c r="K110" s="93">
        <v>36471</v>
      </c>
      <c r="L110" s="93">
        <f t="shared" si="1"/>
        <v>656478</v>
      </c>
      <c r="M110" s="94" t="s">
        <v>700</v>
      </c>
      <c r="N110" s="92" t="s">
        <v>708</v>
      </c>
      <c r="O110" s="95" t="s">
        <v>694</v>
      </c>
    </row>
    <row r="111" spans="1:15" ht="15" customHeight="1" x14ac:dyDescent="0.25">
      <c r="A111" s="91" t="s">
        <v>1015</v>
      </c>
      <c r="B111" s="92" t="s">
        <v>710</v>
      </c>
      <c r="C111" s="92" t="s">
        <v>96</v>
      </c>
      <c r="D111" s="92" t="s">
        <v>716</v>
      </c>
      <c r="E111" s="92" t="s">
        <v>1016</v>
      </c>
      <c r="F111" s="92" t="s">
        <v>1017</v>
      </c>
      <c r="G111" s="92" t="s">
        <v>1017</v>
      </c>
      <c r="H111" s="92">
        <v>35</v>
      </c>
      <c r="I111" s="92">
        <v>0</v>
      </c>
      <c r="J111" s="92">
        <v>7</v>
      </c>
      <c r="K111" s="93">
        <v>59072</v>
      </c>
      <c r="L111" s="93">
        <f t="shared" si="1"/>
        <v>413504</v>
      </c>
      <c r="M111" s="94" t="s">
        <v>727</v>
      </c>
      <c r="N111" s="92" t="s">
        <v>708</v>
      </c>
      <c r="O111" s="96" t="s">
        <v>728</v>
      </c>
    </row>
    <row r="112" spans="1:15" ht="15" customHeight="1" x14ac:dyDescent="0.25">
      <c r="A112" s="91" t="s">
        <v>1018</v>
      </c>
      <c r="B112" s="92" t="s">
        <v>753</v>
      </c>
      <c r="C112" s="92" t="s">
        <v>51</v>
      </c>
      <c r="D112" s="92" t="s">
        <v>711</v>
      </c>
      <c r="E112" s="92" t="s">
        <v>718</v>
      </c>
      <c r="F112" s="92" t="s">
        <v>1019</v>
      </c>
      <c r="G112" s="92" t="s">
        <v>1020</v>
      </c>
      <c r="H112" s="92">
        <v>29</v>
      </c>
      <c r="I112" s="92">
        <v>11</v>
      </c>
      <c r="J112" s="92">
        <v>9</v>
      </c>
      <c r="K112" s="93">
        <v>41042</v>
      </c>
      <c r="L112" s="93">
        <f t="shared" si="1"/>
        <v>369378</v>
      </c>
      <c r="M112" s="94" t="s">
        <v>727</v>
      </c>
      <c r="N112" s="92" t="s">
        <v>701</v>
      </c>
      <c r="O112" s="96" t="s">
        <v>778</v>
      </c>
    </row>
    <row r="113" spans="1:15" ht="15" customHeight="1" x14ac:dyDescent="0.25">
      <c r="A113" s="91" t="s">
        <v>1021</v>
      </c>
      <c r="B113" s="92" t="s">
        <v>780</v>
      </c>
      <c r="C113" s="92" t="s">
        <v>86</v>
      </c>
      <c r="D113" s="92" t="s">
        <v>697</v>
      </c>
      <c r="E113" s="92" t="s">
        <v>396</v>
      </c>
      <c r="F113" s="92" t="s">
        <v>1022</v>
      </c>
      <c r="G113" s="92"/>
      <c r="H113" s="92">
        <v>43</v>
      </c>
      <c r="I113" s="92">
        <v>0</v>
      </c>
      <c r="J113" s="92">
        <v>13</v>
      </c>
      <c r="K113" s="93">
        <v>83008</v>
      </c>
      <c r="L113" s="93">
        <f t="shared" si="1"/>
        <v>1079104</v>
      </c>
      <c r="M113" s="92" t="s">
        <v>692</v>
      </c>
      <c r="N113" s="92" t="s">
        <v>708</v>
      </c>
      <c r="O113" s="95" t="s">
        <v>694</v>
      </c>
    </row>
    <row r="114" spans="1:15" ht="15" customHeight="1" x14ac:dyDescent="0.25">
      <c r="A114" s="91" t="s">
        <v>1023</v>
      </c>
      <c r="B114" s="92" t="s">
        <v>780</v>
      </c>
      <c r="C114" s="92" t="s">
        <v>86</v>
      </c>
      <c r="D114" s="92" t="s">
        <v>787</v>
      </c>
      <c r="E114" s="92" t="s">
        <v>1024</v>
      </c>
      <c r="F114" s="92" t="s">
        <v>1025</v>
      </c>
      <c r="G114" s="92"/>
      <c r="H114" s="92">
        <v>18</v>
      </c>
      <c r="I114" s="92">
        <v>0</v>
      </c>
      <c r="J114" s="92">
        <v>190</v>
      </c>
      <c r="K114" s="93">
        <v>53466</v>
      </c>
      <c r="L114" s="93">
        <f t="shared" si="1"/>
        <v>10158540</v>
      </c>
      <c r="M114" s="92" t="s">
        <v>692</v>
      </c>
      <c r="N114" s="92" t="s">
        <v>714</v>
      </c>
      <c r="O114" s="95" t="s">
        <v>694</v>
      </c>
    </row>
    <row r="115" spans="1:15" ht="15" customHeight="1" x14ac:dyDescent="0.25">
      <c r="A115" s="91" t="s">
        <v>1026</v>
      </c>
      <c r="B115" s="92" t="s">
        <v>696</v>
      </c>
      <c r="C115" s="92" t="s">
        <v>96</v>
      </c>
      <c r="D115" s="92" t="s">
        <v>787</v>
      </c>
      <c r="E115" s="92" t="s">
        <v>1027</v>
      </c>
      <c r="F115" s="92" t="s">
        <v>1028</v>
      </c>
      <c r="G115" s="92" t="s">
        <v>1028</v>
      </c>
      <c r="H115" s="92">
        <v>28</v>
      </c>
      <c r="I115" s="92">
        <v>0</v>
      </c>
      <c r="J115" s="92">
        <v>139</v>
      </c>
      <c r="K115" s="93">
        <v>59486</v>
      </c>
      <c r="L115" s="93">
        <f t="shared" si="1"/>
        <v>8268554</v>
      </c>
      <c r="M115" s="94" t="s">
        <v>727</v>
      </c>
      <c r="N115" s="92" t="s">
        <v>693</v>
      </c>
      <c r="O115" s="96" t="s">
        <v>728</v>
      </c>
    </row>
    <row r="116" spans="1:15" ht="15" customHeight="1" x14ac:dyDescent="0.25">
      <c r="A116" s="91" t="s">
        <v>1029</v>
      </c>
      <c r="B116" s="92" t="s">
        <v>688</v>
      </c>
      <c r="C116" s="92" t="s">
        <v>68</v>
      </c>
      <c r="D116" s="92" t="s">
        <v>689</v>
      </c>
      <c r="E116" s="92" t="s">
        <v>1030</v>
      </c>
      <c r="F116" s="92" t="s">
        <v>1031</v>
      </c>
      <c r="G116" s="92"/>
      <c r="H116" s="92">
        <v>12</v>
      </c>
      <c r="I116" s="92">
        <v>0</v>
      </c>
      <c r="J116" s="92">
        <v>172</v>
      </c>
      <c r="K116" s="93">
        <v>62672</v>
      </c>
      <c r="L116" s="93">
        <f t="shared" si="1"/>
        <v>10779584</v>
      </c>
      <c r="M116" s="92" t="s">
        <v>692</v>
      </c>
      <c r="N116" s="92" t="s">
        <v>714</v>
      </c>
      <c r="O116" s="95" t="s">
        <v>694</v>
      </c>
    </row>
    <row r="117" spans="1:15" ht="15" customHeight="1" x14ac:dyDescent="0.25">
      <c r="A117" s="91" t="s">
        <v>1032</v>
      </c>
      <c r="B117" s="92" t="s">
        <v>688</v>
      </c>
      <c r="C117" s="92" t="s">
        <v>68</v>
      </c>
      <c r="D117" s="92" t="s">
        <v>705</v>
      </c>
      <c r="E117" s="92" t="s">
        <v>1033</v>
      </c>
      <c r="F117" s="92" t="s">
        <v>1034</v>
      </c>
      <c r="G117" s="92" t="s">
        <v>1034</v>
      </c>
      <c r="H117" s="92">
        <v>10</v>
      </c>
      <c r="I117" s="92">
        <v>0</v>
      </c>
      <c r="J117" s="92">
        <v>21</v>
      </c>
      <c r="K117" s="93">
        <v>31391</v>
      </c>
      <c r="L117" s="93">
        <f t="shared" si="1"/>
        <v>659211</v>
      </c>
      <c r="M117" s="94" t="s">
        <v>727</v>
      </c>
      <c r="N117" s="92" t="s">
        <v>742</v>
      </c>
      <c r="O117" s="96" t="s">
        <v>728</v>
      </c>
    </row>
    <row r="118" spans="1:15" ht="15" customHeight="1" x14ac:dyDescent="0.25">
      <c r="A118" s="91" t="s">
        <v>1035</v>
      </c>
      <c r="B118" s="92" t="s">
        <v>688</v>
      </c>
      <c r="C118" s="92" t="s">
        <v>68</v>
      </c>
      <c r="D118" s="92" t="s">
        <v>716</v>
      </c>
      <c r="E118" s="92" t="s">
        <v>1036</v>
      </c>
      <c r="F118" s="92" t="s">
        <v>1037</v>
      </c>
      <c r="G118" s="92"/>
      <c r="H118" s="92">
        <v>42</v>
      </c>
      <c r="I118" s="92">
        <v>0</v>
      </c>
      <c r="J118" s="92">
        <v>105</v>
      </c>
      <c r="K118" s="93">
        <v>12195</v>
      </c>
      <c r="L118" s="93">
        <f t="shared" si="1"/>
        <v>1280475</v>
      </c>
      <c r="M118" s="92" t="s">
        <v>692</v>
      </c>
      <c r="N118" s="92" t="s">
        <v>701</v>
      </c>
      <c r="O118" s="95" t="s">
        <v>694</v>
      </c>
    </row>
    <row r="119" spans="1:15" ht="15" customHeight="1" x14ac:dyDescent="0.25">
      <c r="A119" s="91" t="s">
        <v>1038</v>
      </c>
      <c r="B119" s="92" t="s">
        <v>753</v>
      </c>
      <c r="C119" s="92" t="s">
        <v>51</v>
      </c>
      <c r="D119" s="92" t="s">
        <v>716</v>
      </c>
      <c r="E119" s="92" t="s">
        <v>1039</v>
      </c>
      <c r="F119" s="92" t="s">
        <v>833</v>
      </c>
      <c r="G119" s="92"/>
      <c r="H119" s="92">
        <v>37</v>
      </c>
      <c r="I119" s="92">
        <v>0</v>
      </c>
      <c r="J119" s="92">
        <v>386</v>
      </c>
      <c r="K119" s="93">
        <v>49520</v>
      </c>
      <c r="L119" s="93">
        <f t="shared" si="1"/>
        <v>19114720</v>
      </c>
      <c r="M119" s="92" t="s">
        <v>692</v>
      </c>
      <c r="N119" s="92" t="s">
        <v>742</v>
      </c>
      <c r="O119" s="95" t="s">
        <v>694</v>
      </c>
    </row>
    <row r="120" spans="1:15" ht="15" customHeight="1" x14ac:dyDescent="0.25">
      <c r="A120" s="91" t="s">
        <v>1040</v>
      </c>
      <c r="B120" s="92" t="s">
        <v>753</v>
      </c>
      <c r="C120" s="92" t="s">
        <v>51</v>
      </c>
      <c r="D120" s="92" t="s">
        <v>705</v>
      </c>
      <c r="E120" s="92" t="s">
        <v>1041</v>
      </c>
      <c r="F120" s="92" t="s">
        <v>1042</v>
      </c>
      <c r="G120" s="92"/>
      <c r="H120" s="92">
        <v>29</v>
      </c>
      <c r="I120" s="92">
        <v>0</v>
      </c>
      <c r="J120" s="92">
        <v>258</v>
      </c>
      <c r="K120" s="93">
        <v>57979</v>
      </c>
      <c r="L120" s="93">
        <f t="shared" si="1"/>
        <v>14958582</v>
      </c>
      <c r="M120" s="94" t="s">
        <v>759</v>
      </c>
      <c r="N120" s="92" t="s">
        <v>701</v>
      </c>
      <c r="O120" s="95" t="s">
        <v>694</v>
      </c>
    </row>
    <row r="121" spans="1:15" ht="15" customHeight="1" x14ac:dyDescent="0.25">
      <c r="A121" s="91" t="s">
        <v>1043</v>
      </c>
      <c r="B121" s="92" t="s">
        <v>735</v>
      </c>
      <c r="C121" s="92" t="s">
        <v>51</v>
      </c>
      <c r="D121" s="92" t="s">
        <v>716</v>
      </c>
      <c r="E121" s="92" t="s">
        <v>861</v>
      </c>
      <c r="F121" s="92" t="s">
        <v>1044</v>
      </c>
      <c r="G121" s="92" t="s">
        <v>1044</v>
      </c>
      <c r="H121" s="92">
        <v>30</v>
      </c>
      <c r="I121" s="92">
        <v>0</v>
      </c>
      <c r="J121" s="92">
        <v>425</v>
      </c>
      <c r="K121" s="93">
        <v>10869</v>
      </c>
      <c r="L121" s="93">
        <f t="shared" si="1"/>
        <v>4619325</v>
      </c>
      <c r="M121" s="94" t="s">
        <v>727</v>
      </c>
      <c r="N121" s="92" t="s">
        <v>693</v>
      </c>
      <c r="O121" s="96" t="s">
        <v>728</v>
      </c>
    </row>
    <row r="122" spans="1:15" ht="15" customHeight="1" x14ac:dyDescent="0.25">
      <c r="A122" s="91" t="s">
        <v>1045</v>
      </c>
      <c r="B122" s="92" t="s">
        <v>688</v>
      </c>
      <c r="C122" s="92" t="s">
        <v>68</v>
      </c>
      <c r="D122" s="92" t="s">
        <v>724</v>
      </c>
      <c r="E122" s="92" t="s">
        <v>1046</v>
      </c>
      <c r="F122" s="92" t="s">
        <v>853</v>
      </c>
      <c r="G122" s="92"/>
      <c r="H122" s="92">
        <v>35</v>
      </c>
      <c r="I122" s="92">
        <v>0</v>
      </c>
      <c r="J122" s="92">
        <v>410</v>
      </c>
      <c r="K122" s="93">
        <v>57394</v>
      </c>
      <c r="L122" s="93">
        <f t="shared" si="1"/>
        <v>23531540</v>
      </c>
      <c r="M122" s="92" t="s">
        <v>692</v>
      </c>
      <c r="N122" s="92" t="s">
        <v>714</v>
      </c>
      <c r="O122" s="95" t="s">
        <v>694</v>
      </c>
    </row>
    <row r="123" spans="1:15" ht="15" customHeight="1" x14ac:dyDescent="0.25">
      <c r="A123" s="91" t="s">
        <v>1047</v>
      </c>
      <c r="B123" s="92" t="s">
        <v>753</v>
      </c>
      <c r="C123" s="92" t="s">
        <v>51</v>
      </c>
      <c r="D123" s="92" t="s">
        <v>697</v>
      </c>
      <c r="E123" s="92" t="s">
        <v>1048</v>
      </c>
      <c r="F123" s="92" t="s">
        <v>1049</v>
      </c>
      <c r="G123" s="92" t="s">
        <v>1049</v>
      </c>
      <c r="H123" s="92">
        <v>12</v>
      </c>
      <c r="I123" s="92">
        <v>0</v>
      </c>
      <c r="J123" s="92">
        <v>490</v>
      </c>
      <c r="K123" s="93">
        <v>7002</v>
      </c>
      <c r="L123" s="93">
        <f t="shared" si="1"/>
        <v>3430980</v>
      </c>
      <c r="M123" s="94" t="s">
        <v>727</v>
      </c>
      <c r="N123" s="92" t="s">
        <v>742</v>
      </c>
      <c r="O123" s="96" t="s">
        <v>728</v>
      </c>
    </row>
    <row r="124" spans="1:15" ht="15" customHeight="1" x14ac:dyDescent="0.25">
      <c r="A124" s="91" t="s">
        <v>1050</v>
      </c>
      <c r="B124" s="92" t="s">
        <v>703</v>
      </c>
      <c r="C124" s="92" t="s">
        <v>704</v>
      </c>
      <c r="D124" s="92" t="s">
        <v>716</v>
      </c>
      <c r="E124" s="92" t="s">
        <v>1051</v>
      </c>
      <c r="F124" s="92" t="s">
        <v>1052</v>
      </c>
      <c r="G124" s="92" t="s">
        <v>1052</v>
      </c>
      <c r="H124" s="92">
        <v>16</v>
      </c>
      <c r="I124" s="92">
        <v>0</v>
      </c>
      <c r="J124" s="92">
        <v>488</v>
      </c>
      <c r="K124" s="93">
        <v>53505</v>
      </c>
      <c r="L124" s="93">
        <f t="shared" si="1"/>
        <v>26110440</v>
      </c>
      <c r="M124" s="94" t="s">
        <v>727</v>
      </c>
      <c r="N124" s="92" t="s">
        <v>701</v>
      </c>
      <c r="O124" s="96" t="s">
        <v>728</v>
      </c>
    </row>
    <row r="125" spans="1:15" ht="15" customHeight="1" x14ac:dyDescent="0.25">
      <c r="A125" s="91" t="s">
        <v>1053</v>
      </c>
      <c r="B125" s="92" t="s">
        <v>739</v>
      </c>
      <c r="C125" s="92" t="s">
        <v>51</v>
      </c>
      <c r="D125" s="92" t="s">
        <v>711</v>
      </c>
      <c r="E125" s="92" t="s">
        <v>1054</v>
      </c>
      <c r="F125" s="92" t="s">
        <v>1055</v>
      </c>
      <c r="G125" s="92" t="s">
        <v>1055</v>
      </c>
      <c r="H125" s="92">
        <v>37</v>
      </c>
      <c r="I125" s="92">
        <v>0</v>
      </c>
      <c r="J125" s="92">
        <v>11</v>
      </c>
      <c r="K125" s="93">
        <v>25133</v>
      </c>
      <c r="L125" s="93">
        <f t="shared" si="1"/>
        <v>276463</v>
      </c>
      <c r="M125" s="94" t="s">
        <v>727</v>
      </c>
      <c r="N125" s="92" t="s">
        <v>714</v>
      </c>
      <c r="O125" s="96" t="s">
        <v>728</v>
      </c>
    </row>
    <row r="126" spans="1:15" ht="15" customHeight="1" x14ac:dyDescent="0.25">
      <c r="A126" s="91" t="s">
        <v>1056</v>
      </c>
      <c r="B126" s="92" t="s">
        <v>735</v>
      </c>
      <c r="C126" s="92" t="s">
        <v>51</v>
      </c>
      <c r="D126" s="92" t="s">
        <v>689</v>
      </c>
      <c r="E126" s="92" t="s">
        <v>1057</v>
      </c>
      <c r="F126" s="92" t="s">
        <v>1058</v>
      </c>
      <c r="G126" s="92"/>
      <c r="H126" s="92">
        <v>40</v>
      </c>
      <c r="I126" s="92">
        <v>0</v>
      </c>
      <c r="J126" s="92">
        <v>211</v>
      </c>
      <c r="K126" s="93">
        <v>49401</v>
      </c>
      <c r="L126" s="93">
        <f t="shared" si="1"/>
        <v>10423611</v>
      </c>
      <c r="M126" s="92" t="s">
        <v>692</v>
      </c>
      <c r="N126" s="92" t="s">
        <v>701</v>
      </c>
      <c r="O126" s="95" t="s">
        <v>694</v>
      </c>
    </row>
    <row r="127" spans="1:15" ht="15" customHeight="1" x14ac:dyDescent="0.25">
      <c r="A127" s="91" t="s">
        <v>1059</v>
      </c>
      <c r="B127" s="92" t="s">
        <v>710</v>
      </c>
      <c r="C127" s="92" t="s">
        <v>96</v>
      </c>
      <c r="D127" s="92" t="s">
        <v>697</v>
      </c>
      <c r="E127" s="92" t="s">
        <v>736</v>
      </c>
      <c r="F127" s="92" t="s">
        <v>926</v>
      </c>
      <c r="G127" s="92" t="s">
        <v>926</v>
      </c>
      <c r="H127" s="92">
        <v>36</v>
      </c>
      <c r="I127" s="92">
        <v>0</v>
      </c>
      <c r="J127" s="92">
        <v>157</v>
      </c>
      <c r="K127" s="93">
        <v>15012</v>
      </c>
      <c r="L127" s="93">
        <f t="shared" si="1"/>
        <v>2356884</v>
      </c>
      <c r="M127" s="94" t="s">
        <v>727</v>
      </c>
      <c r="N127" s="92" t="s">
        <v>701</v>
      </c>
      <c r="O127" s="96" t="s">
        <v>728</v>
      </c>
    </row>
    <row r="128" spans="1:15" ht="15" customHeight="1" x14ac:dyDescent="0.25">
      <c r="A128" s="91" t="s">
        <v>1060</v>
      </c>
      <c r="B128" s="92" t="s">
        <v>753</v>
      </c>
      <c r="C128" s="92" t="s">
        <v>51</v>
      </c>
      <c r="D128" s="92" t="s">
        <v>697</v>
      </c>
      <c r="E128" s="92" t="s">
        <v>1061</v>
      </c>
      <c r="F128" s="92" t="s">
        <v>439</v>
      </c>
      <c r="G128" s="92"/>
      <c r="H128" s="92">
        <v>30</v>
      </c>
      <c r="I128" s="92">
        <v>4</v>
      </c>
      <c r="J128" s="92">
        <v>76</v>
      </c>
      <c r="K128" s="93">
        <v>30339</v>
      </c>
      <c r="L128" s="93">
        <f t="shared" si="1"/>
        <v>2305764</v>
      </c>
      <c r="M128" s="94" t="s">
        <v>700</v>
      </c>
      <c r="N128" s="92" t="s">
        <v>708</v>
      </c>
      <c r="O128" s="95" t="s">
        <v>694</v>
      </c>
    </row>
    <row r="129" spans="1:15" ht="15" customHeight="1" x14ac:dyDescent="0.25">
      <c r="A129" s="91" t="s">
        <v>1062</v>
      </c>
      <c r="B129" s="92" t="s">
        <v>780</v>
      </c>
      <c r="C129" s="92" t="s">
        <v>86</v>
      </c>
      <c r="D129" s="92" t="s">
        <v>711</v>
      </c>
      <c r="E129" s="92" t="s">
        <v>424</v>
      </c>
      <c r="F129" s="92" t="s">
        <v>938</v>
      </c>
      <c r="G129" s="92" t="s">
        <v>938</v>
      </c>
      <c r="H129" s="92">
        <v>41</v>
      </c>
      <c r="I129" s="92">
        <v>0</v>
      </c>
      <c r="J129" s="92">
        <v>355</v>
      </c>
      <c r="K129" s="93">
        <v>76948</v>
      </c>
      <c r="L129" s="93">
        <f t="shared" si="1"/>
        <v>27316540</v>
      </c>
      <c r="M129" s="94" t="s">
        <v>727</v>
      </c>
      <c r="N129" s="92" t="s">
        <v>742</v>
      </c>
      <c r="O129" s="96" t="s">
        <v>728</v>
      </c>
    </row>
    <row r="130" spans="1:15" ht="15" customHeight="1" x14ac:dyDescent="0.25">
      <c r="A130" s="91" t="s">
        <v>1063</v>
      </c>
      <c r="B130" s="92" t="s">
        <v>780</v>
      </c>
      <c r="C130" s="92" t="s">
        <v>86</v>
      </c>
      <c r="D130" s="92" t="s">
        <v>689</v>
      </c>
      <c r="E130" s="92" t="s">
        <v>987</v>
      </c>
      <c r="F130" s="92" t="s">
        <v>1064</v>
      </c>
      <c r="G130" s="92" t="s">
        <v>1064</v>
      </c>
      <c r="H130" s="92">
        <v>14</v>
      </c>
      <c r="I130" s="92">
        <v>0</v>
      </c>
      <c r="J130" s="92">
        <v>226</v>
      </c>
      <c r="K130" s="93">
        <v>22504</v>
      </c>
      <c r="L130" s="93">
        <f t="shared" ref="L130:L193" si="2">J130*K130</f>
        <v>5085904</v>
      </c>
      <c r="M130" s="94" t="s">
        <v>727</v>
      </c>
      <c r="N130" s="92" t="s">
        <v>742</v>
      </c>
      <c r="O130" s="96" t="s">
        <v>728</v>
      </c>
    </row>
    <row r="131" spans="1:15" ht="15" customHeight="1" x14ac:dyDescent="0.25">
      <c r="A131" s="91" t="s">
        <v>1065</v>
      </c>
      <c r="B131" s="92" t="s">
        <v>753</v>
      </c>
      <c r="C131" s="92" t="s">
        <v>51</v>
      </c>
      <c r="D131" s="92" t="s">
        <v>731</v>
      </c>
      <c r="E131" s="92" t="s">
        <v>1066</v>
      </c>
      <c r="F131" s="92" t="s">
        <v>1067</v>
      </c>
      <c r="G131" s="92"/>
      <c r="H131" s="92">
        <v>27</v>
      </c>
      <c r="I131" s="92">
        <v>7</v>
      </c>
      <c r="J131" s="92">
        <v>191</v>
      </c>
      <c r="K131" s="93">
        <v>38392</v>
      </c>
      <c r="L131" s="93">
        <f t="shared" si="2"/>
        <v>7332872</v>
      </c>
      <c r="M131" s="94" t="s">
        <v>700</v>
      </c>
      <c r="N131" s="92" t="s">
        <v>742</v>
      </c>
      <c r="O131" s="95" t="s">
        <v>694</v>
      </c>
    </row>
    <row r="132" spans="1:15" ht="15" customHeight="1" x14ac:dyDescent="0.25">
      <c r="A132" s="91" t="s">
        <v>1068</v>
      </c>
      <c r="B132" s="92" t="s">
        <v>688</v>
      </c>
      <c r="C132" s="92" t="s">
        <v>68</v>
      </c>
      <c r="D132" s="92" t="s">
        <v>724</v>
      </c>
      <c r="E132" s="92" t="s">
        <v>1069</v>
      </c>
      <c r="F132" s="92" t="s">
        <v>1070</v>
      </c>
      <c r="G132" s="92"/>
      <c r="H132" s="92">
        <v>14</v>
      </c>
      <c r="I132" s="92">
        <v>15</v>
      </c>
      <c r="J132" s="92">
        <v>477</v>
      </c>
      <c r="K132" s="93">
        <v>42701</v>
      </c>
      <c r="L132" s="93">
        <f t="shared" si="2"/>
        <v>20368377</v>
      </c>
      <c r="M132" s="94" t="s">
        <v>700</v>
      </c>
      <c r="N132" s="92" t="s">
        <v>742</v>
      </c>
      <c r="O132" s="95" t="s">
        <v>694</v>
      </c>
    </row>
    <row r="133" spans="1:15" ht="15" customHeight="1" x14ac:dyDescent="0.25">
      <c r="A133" s="91" t="s">
        <v>1071</v>
      </c>
      <c r="B133" s="92" t="s">
        <v>710</v>
      </c>
      <c r="C133" s="92" t="s">
        <v>96</v>
      </c>
      <c r="D133" s="92" t="s">
        <v>705</v>
      </c>
      <c r="E133" s="92" t="s">
        <v>1072</v>
      </c>
      <c r="F133" s="92" t="s">
        <v>750</v>
      </c>
      <c r="G133" s="92" t="s">
        <v>750</v>
      </c>
      <c r="H133" s="92">
        <v>16</v>
      </c>
      <c r="I133" s="92">
        <v>0</v>
      </c>
      <c r="J133" s="92">
        <v>260</v>
      </c>
      <c r="K133" s="93">
        <v>28493</v>
      </c>
      <c r="L133" s="93">
        <f t="shared" si="2"/>
        <v>7408180</v>
      </c>
      <c r="M133" s="94" t="s">
        <v>727</v>
      </c>
      <c r="N133" s="92" t="s">
        <v>701</v>
      </c>
      <c r="O133" s="96" t="s">
        <v>728</v>
      </c>
    </row>
    <row r="134" spans="1:15" ht="15" customHeight="1" x14ac:dyDescent="0.25">
      <c r="A134" s="91" t="s">
        <v>1073</v>
      </c>
      <c r="B134" s="92" t="s">
        <v>710</v>
      </c>
      <c r="C134" s="92" t="s">
        <v>96</v>
      </c>
      <c r="D134" s="92" t="s">
        <v>724</v>
      </c>
      <c r="E134" s="92" t="s">
        <v>1074</v>
      </c>
      <c r="F134" s="92" t="s">
        <v>1075</v>
      </c>
      <c r="G134" s="92"/>
      <c r="H134" s="92">
        <v>43</v>
      </c>
      <c r="I134" s="92">
        <v>0</v>
      </c>
      <c r="J134" s="92">
        <v>410</v>
      </c>
      <c r="K134" s="93">
        <v>48262</v>
      </c>
      <c r="L134" s="93">
        <f t="shared" si="2"/>
        <v>19787420</v>
      </c>
      <c r="M134" s="92" t="s">
        <v>692</v>
      </c>
      <c r="N134" s="92" t="s">
        <v>708</v>
      </c>
      <c r="O134" s="95" t="s">
        <v>694</v>
      </c>
    </row>
    <row r="135" spans="1:15" ht="15" customHeight="1" x14ac:dyDescent="0.25">
      <c r="A135" s="91" t="s">
        <v>1076</v>
      </c>
      <c r="B135" s="92" t="s">
        <v>720</v>
      </c>
      <c r="C135" s="92" t="s">
        <v>103</v>
      </c>
      <c r="D135" s="92" t="s">
        <v>716</v>
      </c>
      <c r="E135" s="92" t="s">
        <v>1077</v>
      </c>
      <c r="F135" s="92" t="s">
        <v>1078</v>
      </c>
      <c r="G135" s="92"/>
      <c r="H135" s="92">
        <v>37</v>
      </c>
      <c r="I135" s="92">
        <v>0</v>
      </c>
      <c r="J135" s="92">
        <v>72</v>
      </c>
      <c r="K135" s="93">
        <v>57792</v>
      </c>
      <c r="L135" s="93">
        <f t="shared" si="2"/>
        <v>4161024</v>
      </c>
      <c r="M135" s="94" t="s">
        <v>759</v>
      </c>
      <c r="N135" s="92" t="s">
        <v>714</v>
      </c>
      <c r="O135" s="95" t="s">
        <v>694</v>
      </c>
    </row>
    <row r="136" spans="1:15" ht="15" customHeight="1" x14ac:dyDescent="0.25">
      <c r="A136" s="91" t="s">
        <v>1079</v>
      </c>
      <c r="B136" s="92" t="s">
        <v>703</v>
      </c>
      <c r="C136" s="92" t="s">
        <v>704</v>
      </c>
      <c r="D136" s="92" t="s">
        <v>731</v>
      </c>
      <c r="E136" s="92" t="s">
        <v>1080</v>
      </c>
      <c r="F136" s="92" t="s">
        <v>933</v>
      </c>
      <c r="G136" s="92"/>
      <c r="H136" s="92">
        <v>32</v>
      </c>
      <c r="I136" s="92">
        <v>0</v>
      </c>
      <c r="J136" s="92">
        <v>113</v>
      </c>
      <c r="K136" s="93">
        <v>38185</v>
      </c>
      <c r="L136" s="93">
        <f t="shared" si="2"/>
        <v>4314905</v>
      </c>
      <c r="M136" s="92" t="s">
        <v>692</v>
      </c>
      <c r="N136" s="92" t="s">
        <v>714</v>
      </c>
      <c r="O136" s="95" t="s">
        <v>694</v>
      </c>
    </row>
    <row r="137" spans="1:15" ht="15" customHeight="1" x14ac:dyDescent="0.25">
      <c r="A137" s="91" t="s">
        <v>1081</v>
      </c>
      <c r="B137" s="92" t="s">
        <v>720</v>
      </c>
      <c r="C137" s="92" t="s">
        <v>103</v>
      </c>
      <c r="D137" s="92" t="s">
        <v>731</v>
      </c>
      <c r="E137" s="92" t="s">
        <v>1082</v>
      </c>
      <c r="F137" s="92" t="s">
        <v>1083</v>
      </c>
      <c r="G137" s="92"/>
      <c r="H137" s="92">
        <v>45</v>
      </c>
      <c r="I137" s="92">
        <v>0</v>
      </c>
      <c r="J137" s="92">
        <v>299</v>
      </c>
      <c r="K137" s="93">
        <v>44984</v>
      </c>
      <c r="L137" s="93">
        <f t="shared" si="2"/>
        <v>13450216</v>
      </c>
      <c r="M137" s="92" t="s">
        <v>692</v>
      </c>
      <c r="N137" s="92" t="s">
        <v>701</v>
      </c>
      <c r="O137" s="95" t="s">
        <v>694</v>
      </c>
    </row>
    <row r="138" spans="1:15" ht="15" customHeight="1" x14ac:dyDescent="0.25">
      <c r="A138" s="91" t="s">
        <v>1084</v>
      </c>
      <c r="B138" s="92" t="s">
        <v>753</v>
      </c>
      <c r="C138" s="92" t="s">
        <v>51</v>
      </c>
      <c r="D138" s="92" t="s">
        <v>731</v>
      </c>
      <c r="E138" s="92" t="s">
        <v>1085</v>
      </c>
      <c r="F138" s="92" t="s">
        <v>1039</v>
      </c>
      <c r="G138" s="92" t="s">
        <v>1039</v>
      </c>
      <c r="H138" s="92">
        <v>12</v>
      </c>
      <c r="I138" s="92">
        <v>0</v>
      </c>
      <c r="J138" s="92">
        <v>491</v>
      </c>
      <c r="K138" s="93">
        <v>7883</v>
      </c>
      <c r="L138" s="93">
        <f t="shared" si="2"/>
        <v>3870553</v>
      </c>
      <c r="M138" s="94" t="s">
        <v>727</v>
      </c>
      <c r="N138" s="92" t="s">
        <v>693</v>
      </c>
      <c r="O138" s="96" t="s">
        <v>728</v>
      </c>
    </row>
    <row r="139" spans="1:15" ht="15" customHeight="1" x14ac:dyDescent="0.25">
      <c r="A139" s="91" t="s">
        <v>1086</v>
      </c>
      <c r="B139" s="92" t="s">
        <v>739</v>
      </c>
      <c r="C139" s="92" t="s">
        <v>51</v>
      </c>
      <c r="D139" s="92" t="s">
        <v>689</v>
      </c>
      <c r="E139" s="92" t="s">
        <v>758</v>
      </c>
      <c r="F139" s="92" t="s">
        <v>1087</v>
      </c>
      <c r="G139" s="92" t="s">
        <v>1087</v>
      </c>
      <c r="H139" s="92">
        <v>38</v>
      </c>
      <c r="I139" s="92">
        <v>0</v>
      </c>
      <c r="J139" s="92">
        <v>29</v>
      </c>
      <c r="K139" s="93">
        <v>77264</v>
      </c>
      <c r="L139" s="93">
        <f t="shared" si="2"/>
        <v>2240656</v>
      </c>
      <c r="M139" s="94" t="s">
        <v>727</v>
      </c>
      <c r="N139" s="92" t="s">
        <v>701</v>
      </c>
      <c r="O139" s="96" t="s">
        <v>728</v>
      </c>
    </row>
    <row r="140" spans="1:15" ht="15" customHeight="1" x14ac:dyDescent="0.25">
      <c r="A140" s="91" t="s">
        <v>1088</v>
      </c>
      <c r="B140" s="92" t="s">
        <v>739</v>
      </c>
      <c r="C140" s="92" t="s">
        <v>51</v>
      </c>
      <c r="D140" s="92" t="s">
        <v>711</v>
      </c>
      <c r="E140" s="92" t="s">
        <v>1089</v>
      </c>
      <c r="F140" s="92" t="s">
        <v>784</v>
      </c>
      <c r="G140" s="92" t="s">
        <v>784</v>
      </c>
      <c r="H140" s="92">
        <v>34</v>
      </c>
      <c r="I140" s="92">
        <v>0</v>
      </c>
      <c r="J140" s="92">
        <v>177</v>
      </c>
      <c r="K140" s="93">
        <v>30190</v>
      </c>
      <c r="L140" s="93">
        <f t="shared" si="2"/>
        <v>5343630</v>
      </c>
      <c r="M140" s="94" t="s">
        <v>727</v>
      </c>
      <c r="N140" s="92" t="s">
        <v>708</v>
      </c>
      <c r="O140" s="96" t="s">
        <v>728</v>
      </c>
    </row>
    <row r="141" spans="1:15" ht="15" customHeight="1" x14ac:dyDescent="0.25">
      <c r="A141" s="91" t="s">
        <v>1090</v>
      </c>
      <c r="B141" s="92" t="s">
        <v>688</v>
      </c>
      <c r="C141" s="92" t="s">
        <v>68</v>
      </c>
      <c r="D141" s="92" t="s">
        <v>716</v>
      </c>
      <c r="E141" s="92" t="s">
        <v>1091</v>
      </c>
      <c r="F141" s="92" t="s">
        <v>831</v>
      </c>
      <c r="G141" s="92"/>
      <c r="H141" s="92">
        <v>20</v>
      </c>
      <c r="I141" s="92">
        <v>0</v>
      </c>
      <c r="J141" s="92">
        <v>228</v>
      </c>
      <c r="K141" s="93">
        <v>63159</v>
      </c>
      <c r="L141" s="93">
        <f t="shared" si="2"/>
        <v>14400252</v>
      </c>
      <c r="M141" s="92" t="s">
        <v>692</v>
      </c>
      <c r="N141" s="92" t="s">
        <v>708</v>
      </c>
      <c r="O141" s="95" t="s">
        <v>694</v>
      </c>
    </row>
    <row r="142" spans="1:15" ht="15" customHeight="1" x14ac:dyDescent="0.25">
      <c r="A142" s="91" t="s">
        <v>1092</v>
      </c>
      <c r="B142" s="92" t="s">
        <v>710</v>
      </c>
      <c r="C142" s="92" t="s">
        <v>96</v>
      </c>
      <c r="D142" s="92" t="s">
        <v>724</v>
      </c>
      <c r="E142" s="92" t="s">
        <v>1093</v>
      </c>
      <c r="F142" s="92" t="s">
        <v>816</v>
      </c>
      <c r="G142" s="92"/>
      <c r="H142" s="92">
        <v>17</v>
      </c>
      <c r="I142" s="92">
        <v>0</v>
      </c>
      <c r="J142" s="92">
        <v>497</v>
      </c>
      <c r="K142" s="93">
        <v>76358</v>
      </c>
      <c r="L142" s="93">
        <f t="shared" si="2"/>
        <v>37949926</v>
      </c>
      <c r="M142" s="92" t="s">
        <v>692</v>
      </c>
      <c r="N142" s="92" t="s">
        <v>708</v>
      </c>
      <c r="O142" s="95" t="s">
        <v>694</v>
      </c>
    </row>
    <row r="143" spans="1:15" ht="15" customHeight="1" x14ac:dyDescent="0.25">
      <c r="A143" s="91" t="s">
        <v>1094</v>
      </c>
      <c r="B143" s="92" t="s">
        <v>780</v>
      </c>
      <c r="C143" s="92" t="s">
        <v>86</v>
      </c>
      <c r="D143" s="92" t="s">
        <v>716</v>
      </c>
      <c r="E143" s="92" t="s">
        <v>1095</v>
      </c>
      <c r="F143" s="92" t="s">
        <v>1096</v>
      </c>
      <c r="G143" s="92" t="s">
        <v>741</v>
      </c>
      <c r="H143" s="92">
        <v>16</v>
      </c>
      <c r="I143" s="92">
        <v>8</v>
      </c>
      <c r="J143" s="92">
        <v>269</v>
      </c>
      <c r="K143" s="93">
        <v>83871</v>
      </c>
      <c r="L143" s="93">
        <f t="shared" si="2"/>
        <v>22561299</v>
      </c>
      <c r="M143" s="94" t="s">
        <v>727</v>
      </c>
      <c r="N143" s="92" t="s">
        <v>714</v>
      </c>
      <c r="O143" s="96" t="s">
        <v>778</v>
      </c>
    </row>
    <row r="144" spans="1:15" ht="15" customHeight="1" x14ac:dyDescent="0.25">
      <c r="A144" s="91" t="s">
        <v>1097</v>
      </c>
      <c r="B144" s="92" t="s">
        <v>730</v>
      </c>
      <c r="C144" s="92" t="s">
        <v>131</v>
      </c>
      <c r="D144" s="92" t="s">
        <v>787</v>
      </c>
      <c r="E144" s="92" t="s">
        <v>1098</v>
      </c>
      <c r="F144" s="92" t="s">
        <v>1099</v>
      </c>
      <c r="G144" s="92" t="s">
        <v>1100</v>
      </c>
      <c r="H144" s="92">
        <v>12</v>
      </c>
      <c r="I144" s="92">
        <v>11</v>
      </c>
      <c r="J144" s="92">
        <v>213</v>
      </c>
      <c r="K144" s="93">
        <v>15278</v>
      </c>
      <c r="L144" s="93">
        <f t="shared" si="2"/>
        <v>3254214</v>
      </c>
      <c r="M144" s="94" t="s">
        <v>727</v>
      </c>
      <c r="N144" s="92" t="s">
        <v>708</v>
      </c>
      <c r="O144" s="96" t="s">
        <v>778</v>
      </c>
    </row>
    <row r="145" spans="1:15" ht="15" customHeight="1" x14ac:dyDescent="0.25">
      <c r="A145" s="91" t="s">
        <v>1101</v>
      </c>
      <c r="B145" s="92" t="s">
        <v>730</v>
      </c>
      <c r="C145" s="92" t="s">
        <v>131</v>
      </c>
      <c r="D145" s="92" t="s">
        <v>711</v>
      </c>
      <c r="E145" s="92" t="s">
        <v>1046</v>
      </c>
      <c r="F145" s="92" t="s">
        <v>347</v>
      </c>
      <c r="G145" s="92" t="s">
        <v>347</v>
      </c>
      <c r="H145" s="92">
        <v>19</v>
      </c>
      <c r="I145" s="92">
        <v>0</v>
      </c>
      <c r="J145" s="92">
        <v>252</v>
      </c>
      <c r="K145" s="93">
        <v>4069</v>
      </c>
      <c r="L145" s="93">
        <f t="shared" si="2"/>
        <v>1025388</v>
      </c>
      <c r="M145" s="94" t="s">
        <v>727</v>
      </c>
      <c r="N145" s="92" t="s">
        <v>701</v>
      </c>
      <c r="O145" s="96" t="s">
        <v>728</v>
      </c>
    </row>
    <row r="146" spans="1:15" ht="15" customHeight="1" x14ac:dyDescent="0.25">
      <c r="A146" s="91" t="s">
        <v>1102</v>
      </c>
      <c r="B146" s="92" t="s">
        <v>730</v>
      </c>
      <c r="C146" s="92" t="s">
        <v>131</v>
      </c>
      <c r="D146" s="92" t="s">
        <v>724</v>
      </c>
      <c r="E146" s="92" t="s">
        <v>957</v>
      </c>
      <c r="F146" s="92" t="s">
        <v>1103</v>
      </c>
      <c r="G146" s="92" t="s">
        <v>1103</v>
      </c>
      <c r="H146" s="92">
        <v>38</v>
      </c>
      <c r="I146" s="92">
        <v>0</v>
      </c>
      <c r="J146" s="92">
        <v>406</v>
      </c>
      <c r="K146" s="93">
        <v>707</v>
      </c>
      <c r="L146" s="93">
        <f t="shared" si="2"/>
        <v>287042</v>
      </c>
      <c r="M146" s="94" t="s">
        <v>727</v>
      </c>
      <c r="N146" s="92" t="s">
        <v>701</v>
      </c>
      <c r="O146" s="96" t="s">
        <v>728</v>
      </c>
    </row>
    <row r="147" spans="1:15" ht="15" customHeight="1" x14ac:dyDescent="0.25">
      <c r="A147" s="91" t="s">
        <v>1104</v>
      </c>
      <c r="B147" s="92" t="s">
        <v>703</v>
      </c>
      <c r="C147" s="92" t="s">
        <v>704</v>
      </c>
      <c r="D147" s="92" t="s">
        <v>697</v>
      </c>
      <c r="E147" s="92" t="s">
        <v>930</v>
      </c>
      <c r="F147" s="92" t="s">
        <v>761</v>
      </c>
      <c r="G147" s="92"/>
      <c r="H147" s="92">
        <v>14</v>
      </c>
      <c r="I147" s="92">
        <v>0</v>
      </c>
      <c r="J147" s="92">
        <v>458</v>
      </c>
      <c r="K147" s="93">
        <v>24810</v>
      </c>
      <c r="L147" s="93">
        <f t="shared" si="2"/>
        <v>11362980</v>
      </c>
      <c r="M147" s="92" t="s">
        <v>692</v>
      </c>
      <c r="N147" s="92" t="s">
        <v>742</v>
      </c>
      <c r="O147" s="95" t="s">
        <v>694</v>
      </c>
    </row>
    <row r="148" spans="1:15" ht="15" customHeight="1" x14ac:dyDescent="0.25">
      <c r="A148" s="91" t="s">
        <v>1105</v>
      </c>
      <c r="B148" s="92" t="s">
        <v>710</v>
      </c>
      <c r="C148" s="92" t="s">
        <v>96</v>
      </c>
      <c r="D148" s="92" t="s">
        <v>689</v>
      </c>
      <c r="E148" s="92" t="s">
        <v>1106</v>
      </c>
      <c r="F148" s="92" t="s">
        <v>974</v>
      </c>
      <c r="G148" s="92" t="s">
        <v>974</v>
      </c>
      <c r="H148" s="92">
        <v>8</v>
      </c>
      <c r="I148" s="92">
        <v>0</v>
      </c>
      <c r="J148" s="92">
        <v>497</v>
      </c>
      <c r="K148" s="93">
        <v>6138</v>
      </c>
      <c r="L148" s="93">
        <f t="shared" si="2"/>
        <v>3050586</v>
      </c>
      <c r="M148" s="94" t="s">
        <v>727</v>
      </c>
      <c r="N148" s="92" t="s">
        <v>701</v>
      </c>
      <c r="O148" s="96" t="s">
        <v>728</v>
      </c>
    </row>
    <row r="149" spans="1:15" ht="15" customHeight="1" x14ac:dyDescent="0.25">
      <c r="A149" s="91" t="s">
        <v>1107</v>
      </c>
      <c r="B149" s="92" t="s">
        <v>730</v>
      </c>
      <c r="C149" s="92" t="s">
        <v>131</v>
      </c>
      <c r="D149" s="92" t="s">
        <v>697</v>
      </c>
      <c r="E149" s="92" t="s">
        <v>1108</v>
      </c>
      <c r="F149" s="92" t="s">
        <v>1109</v>
      </c>
      <c r="G149" s="92" t="s">
        <v>1109</v>
      </c>
      <c r="H149" s="92">
        <v>43</v>
      </c>
      <c r="I149" s="92">
        <v>0</v>
      </c>
      <c r="J149" s="92">
        <v>244</v>
      </c>
      <c r="K149" s="93">
        <v>82825</v>
      </c>
      <c r="L149" s="93">
        <f t="shared" si="2"/>
        <v>20209300</v>
      </c>
      <c r="M149" s="94" t="s">
        <v>727</v>
      </c>
      <c r="N149" s="92" t="s">
        <v>714</v>
      </c>
      <c r="O149" s="96" t="s">
        <v>728</v>
      </c>
    </row>
    <row r="150" spans="1:15" ht="15" customHeight="1" x14ac:dyDescent="0.25">
      <c r="A150" s="91" t="s">
        <v>1110</v>
      </c>
      <c r="B150" s="92" t="s">
        <v>720</v>
      </c>
      <c r="C150" s="92" t="s">
        <v>103</v>
      </c>
      <c r="D150" s="92" t="s">
        <v>731</v>
      </c>
      <c r="E150" s="92" t="s">
        <v>852</v>
      </c>
      <c r="F150" s="92" t="s">
        <v>1111</v>
      </c>
      <c r="G150" s="92" t="s">
        <v>1111</v>
      </c>
      <c r="H150" s="92">
        <v>23</v>
      </c>
      <c r="I150" s="92">
        <v>0</v>
      </c>
      <c r="J150" s="92">
        <v>237</v>
      </c>
      <c r="K150" s="93">
        <v>74718</v>
      </c>
      <c r="L150" s="93">
        <f t="shared" si="2"/>
        <v>17708166</v>
      </c>
      <c r="M150" s="94" t="s">
        <v>727</v>
      </c>
      <c r="N150" s="92" t="s">
        <v>742</v>
      </c>
      <c r="O150" s="96" t="s">
        <v>728</v>
      </c>
    </row>
    <row r="151" spans="1:15" ht="15" customHeight="1" x14ac:dyDescent="0.25">
      <c r="A151" s="91" t="s">
        <v>1112</v>
      </c>
      <c r="B151" s="92" t="s">
        <v>720</v>
      </c>
      <c r="C151" s="92" t="s">
        <v>103</v>
      </c>
      <c r="D151" s="92" t="s">
        <v>711</v>
      </c>
      <c r="E151" s="92" t="s">
        <v>706</v>
      </c>
      <c r="F151" s="92" t="s">
        <v>1113</v>
      </c>
      <c r="G151" s="92" t="s">
        <v>1113</v>
      </c>
      <c r="H151" s="92">
        <v>10</v>
      </c>
      <c r="I151" s="92">
        <v>0</v>
      </c>
      <c r="J151" s="92">
        <v>490</v>
      </c>
      <c r="K151" s="93">
        <v>30581</v>
      </c>
      <c r="L151" s="93">
        <f t="shared" si="2"/>
        <v>14984690</v>
      </c>
      <c r="M151" s="94" t="s">
        <v>727</v>
      </c>
      <c r="N151" s="92" t="s">
        <v>701</v>
      </c>
      <c r="O151" s="96" t="s">
        <v>728</v>
      </c>
    </row>
    <row r="152" spans="1:15" ht="15" customHeight="1" x14ac:dyDescent="0.25">
      <c r="A152" s="91" t="s">
        <v>1114</v>
      </c>
      <c r="B152" s="92" t="s">
        <v>703</v>
      </c>
      <c r="C152" s="92" t="s">
        <v>704</v>
      </c>
      <c r="D152" s="92" t="s">
        <v>716</v>
      </c>
      <c r="E152" s="92" t="s">
        <v>1115</v>
      </c>
      <c r="F152" s="92" t="s">
        <v>319</v>
      </c>
      <c r="G152" s="92" t="s">
        <v>319</v>
      </c>
      <c r="H152" s="92">
        <v>39</v>
      </c>
      <c r="I152" s="92">
        <v>0</v>
      </c>
      <c r="J152" s="92">
        <v>49</v>
      </c>
      <c r="K152" s="93">
        <v>51095</v>
      </c>
      <c r="L152" s="93">
        <f t="shared" si="2"/>
        <v>2503655</v>
      </c>
      <c r="M152" s="94" t="s">
        <v>727</v>
      </c>
      <c r="N152" s="92" t="s">
        <v>742</v>
      </c>
      <c r="O152" s="96" t="s">
        <v>728</v>
      </c>
    </row>
    <row r="153" spans="1:15" ht="15" customHeight="1" x14ac:dyDescent="0.25">
      <c r="A153" s="91" t="s">
        <v>1116</v>
      </c>
      <c r="B153" s="92" t="s">
        <v>688</v>
      </c>
      <c r="C153" s="92" t="s">
        <v>68</v>
      </c>
      <c r="D153" s="92" t="s">
        <v>705</v>
      </c>
      <c r="E153" s="92" t="s">
        <v>1117</v>
      </c>
      <c r="F153" s="92" t="s">
        <v>1118</v>
      </c>
      <c r="G153" s="92"/>
      <c r="H153" s="92">
        <v>27</v>
      </c>
      <c r="I153" s="92">
        <v>0</v>
      </c>
      <c r="J153" s="92">
        <v>351</v>
      </c>
      <c r="K153" s="93">
        <v>68090</v>
      </c>
      <c r="L153" s="93">
        <f t="shared" si="2"/>
        <v>23899590</v>
      </c>
      <c r="M153" s="92" t="s">
        <v>692</v>
      </c>
      <c r="N153" s="92" t="s">
        <v>701</v>
      </c>
      <c r="O153" s="95" t="s">
        <v>694</v>
      </c>
    </row>
    <row r="154" spans="1:15" ht="15" customHeight="1" x14ac:dyDescent="0.25">
      <c r="A154" s="91" t="s">
        <v>1119</v>
      </c>
      <c r="B154" s="92" t="s">
        <v>720</v>
      </c>
      <c r="C154" s="92" t="s">
        <v>103</v>
      </c>
      <c r="D154" s="92" t="s">
        <v>716</v>
      </c>
      <c r="E154" s="92" t="s">
        <v>1083</v>
      </c>
      <c r="F154" s="92" t="s">
        <v>866</v>
      </c>
      <c r="G154" s="92" t="s">
        <v>866</v>
      </c>
      <c r="H154" s="92">
        <v>41</v>
      </c>
      <c r="I154" s="92">
        <v>0</v>
      </c>
      <c r="J154" s="92">
        <v>71</v>
      </c>
      <c r="K154" s="93">
        <v>44285</v>
      </c>
      <c r="L154" s="93">
        <f t="shared" si="2"/>
        <v>3144235</v>
      </c>
      <c r="M154" s="94" t="s">
        <v>727</v>
      </c>
      <c r="N154" s="92" t="s">
        <v>701</v>
      </c>
      <c r="O154" s="96" t="s">
        <v>728</v>
      </c>
    </row>
    <row r="155" spans="1:15" ht="15" customHeight="1" x14ac:dyDescent="0.25">
      <c r="A155" s="91" t="s">
        <v>1120</v>
      </c>
      <c r="B155" s="92" t="s">
        <v>710</v>
      </c>
      <c r="C155" s="92" t="s">
        <v>96</v>
      </c>
      <c r="D155" s="92" t="s">
        <v>787</v>
      </c>
      <c r="E155" s="92" t="s">
        <v>1121</v>
      </c>
      <c r="F155" s="92" t="s">
        <v>1122</v>
      </c>
      <c r="G155" s="92"/>
      <c r="H155" s="92">
        <v>28</v>
      </c>
      <c r="I155" s="92">
        <v>8</v>
      </c>
      <c r="J155" s="92">
        <v>53</v>
      </c>
      <c r="K155" s="93">
        <v>18911</v>
      </c>
      <c r="L155" s="93">
        <f t="shared" si="2"/>
        <v>1002283</v>
      </c>
      <c r="M155" s="94" t="s">
        <v>700</v>
      </c>
      <c r="N155" s="92" t="s">
        <v>693</v>
      </c>
      <c r="O155" s="95" t="s">
        <v>694</v>
      </c>
    </row>
    <row r="156" spans="1:15" ht="15" customHeight="1" x14ac:dyDescent="0.25">
      <c r="A156" s="91" t="s">
        <v>1123</v>
      </c>
      <c r="B156" s="92" t="s">
        <v>753</v>
      </c>
      <c r="C156" s="92" t="s">
        <v>51</v>
      </c>
      <c r="D156" s="92" t="s">
        <v>689</v>
      </c>
      <c r="E156" s="92" t="s">
        <v>1083</v>
      </c>
      <c r="F156" s="92" t="s">
        <v>990</v>
      </c>
      <c r="G156" s="92"/>
      <c r="H156" s="92">
        <v>42</v>
      </c>
      <c r="I156" s="92">
        <v>0</v>
      </c>
      <c r="J156" s="92">
        <v>426</v>
      </c>
      <c r="K156" s="93">
        <v>80986</v>
      </c>
      <c r="L156" s="93">
        <f t="shared" si="2"/>
        <v>34500036</v>
      </c>
      <c r="M156" s="92" t="s">
        <v>692</v>
      </c>
      <c r="N156" s="92" t="s">
        <v>693</v>
      </c>
      <c r="O156" s="95" t="s">
        <v>694</v>
      </c>
    </row>
    <row r="157" spans="1:15" ht="15" customHeight="1" x14ac:dyDescent="0.25">
      <c r="A157" s="91" t="s">
        <v>1124</v>
      </c>
      <c r="B157" s="92" t="s">
        <v>688</v>
      </c>
      <c r="C157" s="92" t="s">
        <v>68</v>
      </c>
      <c r="D157" s="92" t="s">
        <v>716</v>
      </c>
      <c r="E157" s="92" t="s">
        <v>1125</v>
      </c>
      <c r="F157" s="92" t="s">
        <v>1126</v>
      </c>
      <c r="G157" s="92" t="s">
        <v>1126</v>
      </c>
      <c r="H157" s="92">
        <v>33</v>
      </c>
      <c r="I157" s="92">
        <v>0</v>
      </c>
      <c r="J157" s="92">
        <v>68</v>
      </c>
      <c r="K157" s="93">
        <v>78528</v>
      </c>
      <c r="L157" s="93">
        <f t="shared" si="2"/>
        <v>5339904</v>
      </c>
      <c r="M157" s="94" t="s">
        <v>727</v>
      </c>
      <c r="N157" s="92" t="s">
        <v>708</v>
      </c>
      <c r="O157" s="96" t="s">
        <v>728</v>
      </c>
    </row>
    <row r="158" spans="1:15" ht="15" customHeight="1" x14ac:dyDescent="0.25">
      <c r="A158" s="91" t="s">
        <v>1127</v>
      </c>
      <c r="B158" s="92" t="s">
        <v>720</v>
      </c>
      <c r="C158" s="92" t="s">
        <v>103</v>
      </c>
      <c r="D158" s="92" t="s">
        <v>724</v>
      </c>
      <c r="E158" s="92" t="s">
        <v>352</v>
      </c>
      <c r="F158" s="92" t="s">
        <v>1046</v>
      </c>
      <c r="G158" s="92" t="s">
        <v>1046</v>
      </c>
      <c r="H158" s="92">
        <v>30</v>
      </c>
      <c r="I158" s="92">
        <v>0</v>
      </c>
      <c r="J158" s="92">
        <v>306</v>
      </c>
      <c r="K158" s="93">
        <v>44704</v>
      </c>
      <c r="L158" s="93">
        <f t="shared" si="2"/>
        <v>13679424</v>
      </c>
      <c r="M158" s="94" t="s">
        <v>727</v>
      </c>
      <c r="N158" s="92" t="s">
        <v>701</v>
      </c>
      <c r="O158" s="96" t="s">
        <v>728</v>
      </c>
    </row>
    <row r="159" spans="1:15" ht="15" customHeight="1" x14ac:dyDescent="0.25">
      <c r="A159" s="91" t="s">
        <v>1128</v>
      </c>
      <c r="B159" s="92" t="s">
        <v>780</v>
      </c>
      <c r="C159" s="92" t="s">
        <v>86</v>
      </c>
      <c r="D159" s="92" t="s">
        <v>724</v>
      </c>
      <c r="E159" s="92" t="s">
        <v>1129</v>
      </c>
      <c r="F159" s="92" t="s">
        <v>1130</v>
      </c>
      <c r="G159" s="92"/>
      <c r="H159" s="92">
        <v>8</v>
      </c>
      <c r="I159" s="92">
        <v>0</v>
      </c>
      <c r="J159" s="92">
        <v>61</v>
      </c>
      <c r="K159" s="93">
        <v>19289</v>
      </c>
      <c r="L159" s="93">
        <f t="shared" si="2"/>
        <v>1176629</v>
      </c>
      <c r="M159" s="92" t="s">
        <v>692</v>
      </c>
      <c r="N159" s="92" t="s">
        <v>742</v>
      </c>
      <c r="O159" s="95" t="s">
        <v>694</v>
      </c>
    </row>
    <row r="160" spans="1:15" ht="15" customHeight="1" x14ac:dyDescent="0.25">
      <c r="A160" s="91" t="s">
        <v>1131</v>
      </c>
      <c r="B160" s="92" t="s">
        <v>753</v>
      </c>
      <c r="C160" s="92" t="s">
        <v>51</v>
      </c>
      <c r="D160" s="92" t="s">
        <v>724</v>
      </c>
      <c r="E160" s="92" t="s">
        <v>1132</v>
      </c>
      <c r="F160" s="92" t="s">
        <v>1133</v>
      </c>
      <c r="G160" s="92" t="s">
        <v>1133</v>
      </c>
      <c r="H160" s="92">
        <v>15</v>
      </c>
      <c r="I160" s="92">
        <v>0</v>
      </c>
      <c r="J160" s="92">
        <v>391</v>
      </c>
      <c r="K160" s="93">
        <v>66751</v>
      </c>
      <c r="L160" s="93">
        <f t="shared" si="2"/>
        <v>26099641</v>
      </c>
      <c r="M160" s="94" t="s">
        <v>727</v>
      </c>
      <c r="N160" s="92" t="s">
        <v>714</v>
      </c>
      <c r="O160" s="96" t="s">
        <v>728</v>
      </c>
    </row>
    <row r="161" spans="1:15" ht="15" customHeight="1" x14ac:dyDescent="0.25">
      <c r="A161" s="91" t="s">
        <v>1134</v>
      </c>
      <c r="B161" s="92" t="s">
        <v>735</v>
      </c>
      <c r="C161" s="92" t="s">
        <v>51</v>
      </c>
      <c r="D161" s="92" t="s">
        <v>697</v>
      </c>
      <c r="E161" s="92" t="s">
        <v>1135</v>
      </c>
      <c r="F161" s="92" t="s">
        <v>1136</v>
      </c>
      <c r="G161" s="92" t="s">
        <v>1136</v>
      </c>
      <c r="H161" s="92">
        <v>34</v>
      </c>
      <c r="I161" s="92">
        <v>0</v>
      </c>
      <c r="J161" s="92">
        <v>338</v>
      </c>
      <c r="K161" s="93">
        <v>43889</v>
      </c>
      <c r="L161" s="93">
        <f t="shared" si="2"/>
        <v>14834482</v>
      </c>
      <c r="M161" s="94" t="s">
        <v>727</v>
      </c>
      <c r="N161" s="92" t="s">
        <v>714</v>
      </c>
      <c r="O161" s="96" t="s">
        <v>728</v>
      </c>
    </row>
    <row r="162" spans="1:15" ht="15" customHeight="1" x14ac:dyDescent="0.25">
      <c r="A162" s="91" t="s">
        <v>1137</v>
      </c>
      <c r="B162" s="92" t="s">
        <v>710</v>
      </c>
      <c r="C162" s="92" t="s">
        <v>96</v>
      </c>
      <c r="D162" s="92" t="s">
        <v>716</v>
      </c>
      <c r="E162" s="92" t="s">
        <v>1138</v>
      </c>
      <c r="F162" s="92" t="s">
        <v>1118</v>
      </c>
      <c r="G162" s="92" t="s">
        <v>1118</v>
      </c>
      <c r="H162" s="92">
        <v>23</v>
      </c>
      <c r="I162" s="92">
        <v>0</v>
      </c>
      <c r="J162" s="92">
        <v>387</v>
      </c>
      <c r="K162" s="93">
        <v>8655</v>
      </c>
      <c r="L162" s="93">
        <f t="shared" si="2"/>
        <v>3349485</v>
      </c>
      <c r="M162" s="94" t="s">
        <v>727</v>
      </c>
      <c r="N162" s="92" t="s">
        <v>714</v>
      </c>
      <c r="O162" s="96" t="s">
        <v>728</v>
      </c>
    </row>
    <row r="163" spans="1:15" ht="15" customHeight="1" x14ac:dyDescent="0.25">
      <c r="A163" s="91" t="s">
        <v>1139</v>
      </c>
      <c r="B163" s="92" t="s">
        <v>730</v>
      </c>
      <c r="C163" s="92" t="s">
        <v>131</v>
      </c>
      <c r="D163" s="92" t="s">
        <v>689</v>
      </c>
      <c r="E163" s="92" t="s">
        <v>1140</v>
      </c>
      <c r="F163" s="92" t="s">
        <v>935</v>
      </c>
      <c r="G163" s="92"/>
      <c r="H163" s="92">
        <v>44</v>
      </c>
      <c r="I163" s="92">
        <v>0</v>
      </c>
      <c r="J163" s="92">
        <v>95</v>
      </c>
      <c r="K163" s="93">
        <v>57166</v>
      </c>
      <c r="L163" s="93">
        <f t="shared" si="2"/>
        <v>5430770</v>
      </c>
      <c r="M163" s="94" t="s">
        <v>759</v>
      </c>
      <c r="N163" s="92" t="s">
        <v>714</v>
      </c>
      <c r="O163" s="95" t="s">
        <v>694</v>
      </c>
    </row>
    <row r="164" spans="1:15" ht="15" customHeight="1" x14ac:dyDescent="0.25">
      <c r="A164" s="91" t="s">
        <v>1141</v>
      </c>
      <c r="B164" s="92" t="s">
        <v>696</v>
      </c>
      <c r="C164" s="92" t="s">
        <v>96</v>
      </c>
      <c r="D164" s="92" t="s">
        <v>711</v>
      </c>
      <c r="E164" s="92" t="s">
        <v>1142</v>
      </c>
      <c r="F164" s="92" t="s">
        <v>1143</v>
      </c>
      <c r="G164" s="92"/>
      <c r="H164" s="92">
        <v>24</v>
      </c>
      <c r="I164" s="92">
        <v>14</v>
      </c>
      <c r="J164" s="92">
        <v>181</v>
      </c>
      <c r="K164" s="93">
        <v>14067</v>
      </c>
      <c r="L164" s="93">
        <f t="shared" si="2"/>
        <v>2546127</v>
      </c>
      <c r="M164" s="94" t="s">
        <v>700</v>
      </c>
      <c r="N164" s="92" t="s">
        <v>693</v>
      </c>
      <c r="O164" s="95" t="s">
        <v>694</v>
      </c>
    </row>
    <row r="165" spans="1:15" ht="15" customHeight="1" x14ac:dyDescent="0.25">
      <c r="A165" s="91" t="s">
        <v>1144</v>
      </c>
      <c r="B165" s="92" t="s">
        <v>730</v>
      </c>
      <c r="C165" s="92" t="s">
        <v>131</v>
      </c>
      <c r="D165" s="92" t="s">
        <v>689</v>
      </c>
      <c r="E165" s="92" t="s">
        <v>765</v>
      </c>
      <c r="F165" s="92" t="s">
        <v>974</v>
      </c>
      <c r="G165" s="92" t="s">
        <v>974</v>
      </c>
      <c r="H165" s="92">
        <v>39</v>
      </c>
      <c r="I165" s="92">
        <v>0</v>
      </c>
      <c r="J165" s="92">
        <v>391</v>
      </c>
      <c r="K165" s="93">
        <v>1682</v>
      </c>
      <c r="L165" s="93">
        <f t="shared" si="2"/>
        <v>657662</v>
      </c>
      <c r="M165" s="94" t="s">
        <v>727</v>
      </c>
      <c r="N165" s="92" t="s">
        <v>742</v>
      </c>
      <c r="O165" s="96" t="s">
        <v>728</v>
      </c>
    </row>
    <row r="166" spans="1:15" ht="15" customHeight="1" x14ac:dyDescent="0.25">
      <c r="A166" s="91" t="s">
        <v>1145</v>
      </c>
      <c r="B166" s="92" t="s">
        <v>753</v>
      </c>
      <c r="C166" s="92" t="s">
        <v>51</v>
      </c>
      <c r="D166" s="92" t="s">
        <v>724</v>
      </c>
      <c r="E166" s="92" t="s">
        <v>910</v>
      </c>
      <c r="F166" s="92" t="s">
        <v>1146</v>
      </c>
      <c r="G166" s="92"/>
      <c r="H166" s="92">
        <v>17</v>
      </c>
      <c r="I166" s="92">
        <v>0</v>
      </c>
      <c r="J166" s="92">
        <v>276</v>
      </c>
      <c r="K166" s="93">
        <v>866</v>
      </c>
      <c r="L166" s="93">
        <f t="shared" si="2"/>
        <v>239016</v>
      </c>
      <c r="M166" s="94" t="s">
        <v>759</v>
      </c>
      <c r="N166" s="92" t="s">
        <v>714</v>
      </c>
      <c r="O166" s="95" t="s">
        <v>694</v>
      </c>
    </row>
    <row r="167" spans="1:15" ht="15" customHeight="1" x14ac:dyDescent="0.25">
      <c r="A167" s="91" t="s">
        <v>1147</v>
      </c>
      <c r="B167" s="92" t="s">
        <v>753</v>
      </c>
      <c r="C167" s="92" t="s">
        <v>51</v>
      </c>
      <c r="D167" s="92" t="s">
        <v>697</v>
      </c>
      <c r="E167" s="92" t="s">
        <v>1000</v>
      </c>
      <c r="F167" s="92" t="s">
        <v>745</v>
      </c>
      <c r="G167" s="92"/>
      <c r="H167" s="92">
        <v>30</v>
      </c>
      <c r="I167" s="92">
        <v>0</v>
      </c>
      <c r="J167" s="92">
        <v>95</v>
      </c>
      <c r="K167" s="93">
        <v>37652</v>
      </c>
      <c r="L167" s="93">
        <f t="shared" si="2"/>
        <v>3576940</v>
      </c>
      <c r="M167" s="92" t="s">
        <v>692</v>
      </c>
      <c r="N167" s="92" t="s">
        <v>714</v>
      </c>
      <c r="O167" s="95" t="s">
        <v>694</v>
      </c>
    </row>
    <row r="168" spans="1:15" ht="15" customHeight="1" x14ac:dyDescent="0.25">
      <c r="A168" s="91" t="s">
        <v>1148</v>
      </c>
      <c r="B168" s="92" t="s">
        <v>780</v>
      </c>
      <c r="C168" s="92" t="s">
        <v>86</v>
      </c>
      <c r="D168" s="92" t="s">
        <v>705</v>
      </c>
      <c r="E168" s="92" t="s">
        <v>828</v>
      </c>
      <c r="F168" s="92" t="s">
        <v>1074</v>
      </c>
      <c r="G168" s="92" t="s">
        <v>1074</v>
      </c>
      <c r="H168" s="92">
        <v>31</v>
      </c>
      <c r="I168" s="92">
        <v>0</v>
      </c>
      <c r="J168" s="92">
        <v>58</v>
      </c>
      <c r="K168" s="93">
        <v>64839</v>
      </c>
      <c r="L168" s="93">
        <f t="shared" si="2"/>
        <v>3760662</v>
      </c>
      <c r="M168" s="94" t="s">
        <v>727</v>
      </c>
      <c r="N168" s="92" t="s">
        <v>701</v>
      </c>
      <c r="O168" s="96" t="s">
        <v>728</v>
      </c>
    </row>
    <row r="169" spans="1:15" ht="15" customHeight="1" x14ac:dyDescent="0.25">
      <c r="A169" s="91" t="s">
        <v>1149</v>
      </c>
      <c r="B169" s="92" t="s">
        <v>696</v>
      </c>
      <c r="C169" s="92" t="s">
        <v>96</v>
      </c>
      <c r="D169" s="92" t="s">
        <v>697</v>
      </c>
      <c r="E169" s="92" t="s">
        <v>1150</v>
      </c>
      <c r="F169" s="92" t="s">
        <v>833</v>
      </c>
      <c r="G169" s="92" t="s">
        <v>833</v>
      </c>
      <c r="H169" s="92">
        <v>14</v>
      </c>
      <c r="I169" s="92">
        <v>0</v>
      </c>
      <c r="J169" s="92">
        <v>361</v>
      </c>
      <c r="K169" s="93">
        <v>24859</v>
      </c>
      <c r="L169" s="93">
        <f t="shared" si="2"/>
        <v>8974099</v>
      </c>
      <c r="M169" s="94" t="s">
        <v>727</v>
      </c>
      <c r="N169" s="92" t="s">
        <v>714</v>
      </c>
      <c r="O169" s="96" t="s">
        <v>728</v>
      </c>
    </row>
    <row r="170" spans="1:15" ht="15" customHeight="1" x14ac:dyDescent="0.25">
      <c r="A170" s="91" t="s">
        <v>1151</v>
      </c>
      <c r="B170" s="92" t="s">
        <v>696</v>
      </c>
      <c r="C170" s="92" t="s">
        <v>96</v>
      </c>
      <c r="D170" s="92" t="s">
        <v>705</v>
      </c>
      <c r="E170" s="92" t="s">
        <v>1152</v>
      </c>
      <c r="F170" s="92" t="s">
        <v>1085</v>
      </c>
      <c r="G170" s="92" t="s">
        <v>1085</v>
      </c>
      <c r="H170" s="92">
        <v>38</v>
      </c>
      <c r="I170" s="92">
        <v>0</v>
      </c>
      <c r="J170" s="92">
        <v>377</v>
      </c>
      <c r="K170" s="93">
        <v>26865</v>
      </c>
      <c r="L170" s="93">
        <f t="shared" si="2"/>
        <v>10128105</v>
      </c>
      <c r="M170" s="94" t="s">
        <v>727</v>
      </c>
      <c r="N170" s="92" t="s">
        <v>708</v>
      </c>
      <c r="O170" s="96" t="s">
        <v>728</v>
      </c>
    </row>
    <row r="171" spans="1:15" ht="15" customHeight="1" x14ac:dyDescent="0.25">
      <c r="A171" s="91" t="s">
        <v>1153</v>
      </c>
      <c r="B171" s="92" t="s">
        <v>753</v>
      </c>
      <c r="C171" s="92" t="s">
        <v>51</v>
      </c>
      <c r="D171" s="92" t="s">
        <v>787</v>
      </c>
      <c r="E171" s="92" t="s">
        <v>964</v>
      </c>
      <c r="F171" s="92" t="s">
        <v>1154</v>
      </c>
      <c r="G171" s="92"/>
      <c r="H171" s="92">
        <v>25</v>
      </c>
      <c r="I171" s="92">
        <v>16</v>
      </c>
      <c r="J171" s="92">
        <v>97</v>
      </c>
      <c r="K171" s="93">
        <v>72897</v>
      </c>
      <c r="L171" s="93">
        <f t="shared" si="2"/>
        <v>7071009</v>
      </c>
      <c r="M171" s="94" t="s">
        <v>700</v>
      </c>
      <c r="N171" s="92" t="s">
        <v>708</v>
      </c>
      <c r="O171" s="95" t="s">
        <v>694</v>
      </c>
    </row>
    <row r="172" spans="1:15" ht="15" customHeight="1" x14ac:dyDescent="0.25">
      <c r="A172" s="91" t="s">
        <v>1155</v>
      </c>
      <c r="B172" s="92" t="s">
        <v>720</v>
      </c>
      <c r="C172" s="92" t="s">
        <v>103</v>
      </c>
      <c r="D172" s="92" t="s">
        <v>711</v>
      </c>
      <c r="E172" s="92" t="s">
        <v>1074</v>
      </c>
      <c r="F172" s="92" t="s">
        <v>1121</v>
      </c>
      <c r="G172" s="92"/>
      <c r="H172" s="92">
        <v>7</v>
      </c>
      <c r="I172" s="92">
        <v>18</v>
      </c>
      <c r="J172" s="92">
        <v>345</v>
      </c>
      <c r="K172" s="93">
        <v>9387</v>
      </c>
      <c r="L172" s="93">
        <f t="shared" si="2"/>
        <v>3238515</v>
      </c>
      <c r="M172" s="94" t="s">
        <v>700</v>
      </c>
      <c r="N172" s="92" t="s">
        <v>708</v>
      </c>
      <c r="O172" s="95" t="s">
        <v>694</v>
      </c>
    </row>
    <row r="173" spans="1:15" ht="15" customHeight="1" x14ac:dyDescent="0.25">
      <c r="A173" s="91" t="s">
        <v>1156</v>
      </c>
      <c r="B173" s="92" t="s">
        <v>688</v>
      </c>
      <c r="C173" s="92" t="s">
        <v>68</v>
      </c>
      <c r="D173" s="92" t="s">
        <v>716</v>
      </c>
      <c r="E173" s="92" t="s">
        <v>1157</v>
      </c>
      <c r="F173" s="92" t="s">
        <v>1158</v>
      </c>
      <c r="G173" s="92" t="s">
        <v>1158</v>
      </c>
      <c r="H173" s="92">
        <v>14</v>
      </c>
      <c r="I173" s="92">
        <v>0</v>
      </c>
      <c r="J173" s="92">
        <v>53</v>
      </c>
      <c r="K173" s="93">
        <v>63151</v>
      </c>
      <c r="L173" s="93">
        <f t="shared" si="2"/>
        <v>3347003</v>
      </c>
      <c r="M173" s="94" t="s">
        <v>727</v>
      </c>
      <c r="N173" s="92" t="s">
        <v>742</v>
      </c>
      <c r="O173" s="96" t="s">
        <v>728</v>
      </c>
    </row>
    <row r="174" spans="1:15" ht="15" customHeight="1" x14ac:dyDescent="0.25">
      <c r="A174" s="91" t="s">
        <v>1159</v>
      </c>
      <c r="B174" s="92" t="s">
        <v>696</v>
      </c>
      <c r="C174" s="92" t="s">
        <v>96</v>
      </c>
      <c r="D174" s="92" t="s">
        <v>705</v>
      </c>
      <c r="E174" s="92" t="s">
        <v>1160</v>
      </c>
      <c r="F174" s="92" t="s">
        <v>1161</v>
      </c>
      <c r="G174" s="92" t="s">
        <v>1161</v>
      </c>
      <c r="H174" s="92">
        <v>19</v>
      </c>
      <c r="I174" s="92">
        <v>0</v>
      </c>
      <c r="J174" s="92">
        <v>207</v>
      </c>
      <c r="K174" s="93">
        <v>10873</v>
      </c>
      <c r="L174" s="93">
        <f t="shared" si="2"/>
        <v>2250711</v>
      </c>
      <c r="M174" s="94" t="s">
        <v>727</v>
      </c>
      <c r="N174" s="92" t="s">
        <v>708</v>
      </c>
      <c r="O174" s="96" t="s">
        <v>728</v>
      </c>
    </row>
    <row r="175" spans="1:15" ht="15" customHeight="1" x14ac:dyDescent="0.25">
      <c r="A175" s="91" t="s">
        <v>1162</v>
      </c>
      <c r="B175" s="92" t="s">
        <v>710</v>
      </c>
      <c r="C175" s="92" t="s">
        <v>96</v>
      </c>
      <c r="D175" s="92" t="s">
        <v>724</v>
      </c>
      <c r="E175" s="92" t="s">
        <v>1163</v>
      </c>
      <c r="F175" s="92" t="s">
        <v>1164</v>
      </c>
      <c r="G175" s="92" t="s">
        <v>1164</v>
      </c>
      <c r="H175" s="92">
        <v>44</v>
      </c>
      <c r="I175" s="92">
        <v>0</v>
      </c>
      <c r="J175" s="92">
        <v>330</v>
      </c>
      <c r="K175" s="93">
        <v>80203</v>
      </c>
      <c r="L175" s="93">
        <f t="shared" si="2"/>
        <v>26466990</v>
      </c>
      <c r="M175" s="94" t="s">
        <v>727</v>
      </c>
      <c r="N175" s="92" t="s">
        <v>701</v>
      </c>
      <c r="O175" s="96" t="s">
        <v>728</v>
      </c>
    </row>
    <row r="176" spans="1:15" ht="15" customHeight="1" x14ac:dyDescent="0.25">
      <c r="A176" s="91" t="s">
        <v>1165</v>
      </c>
      <c r="B176" s="92" t="s">
        <v>710</v>
      </c>
      <c r="C176" s="92" t="s">
        <v>96</v>
      </c>
      <c r="D176" s="92" t="s">
        <v>787</v>
      </c>
      <c r="E176" s="92" t="s">
        <v>765</v>
      </c>
      <c r="F176" s="92" t="s">
        <v>1109</v>
      </c>
      <c r="G176" s="92" t="s">
        <v>1109</v>
      </c>
      <c r="H176" s="92">
        <v>38</v>
      </c>
      <c r="I176" s="92">
        <v>0</v>
      </c>
      <c r="J176" s="92">
        <v>56</v>
      </c>
      <c r="K176" s="93">
        <v>10825</v>
      </c>
      <c r="L176" s="93">
        <f t="shared" si="2"/>
        <v>606200</v>
      </c>
      <c r="M176" s="94" t="s">
        <v>727</v>
      </c>
      <c r="N176" s="92" t="s">
        <v>708</v>
      </c>
      <c r="O176" s="96" t="s">
        <v>728</v>
      </c>
    </row>
    <row r="177" spans="1:15" ht="15" customHeight="1" x14ac:dyDescent="0.25">
      <c r="A177" s="91" t="s">
        <v>1166</v>
      </c>
      <c r="B177" s="92" t="s">
        <v>710</v>
      </c>
      <c r="C177" s="92" t="s">
        <v>96</v>
      </c>
      <c r="D177" s="92" t="s">
        <v>689</v>
      </c>
      <c r="E177" s="92" t="s">
        <v>1167</v>
      </c>
      <c r="F177" s="92" t="s">
        <v>331</v>
      </c>
      <c r="G177" s="92" t="s">
        <v>331</v>
      </c>
      <c r="H177" s="92">
        <v>15</v>
      </c>
      <c r="I177" s="92">
        <v>0</v>
      </c>
      <c r="J177" s="92">
        <v>35</v>
      </c>
      <c r="K177" s="93">
        <v>42592</v>
      </c>
      <c r="L177" s="93">
        <f t="shared" si="2"/>
        <v>1490720</v>
      </c>
      <c r="M177" s="94" t="s">
        <v>727</v>
      </c>
      <c r="N177" s="92" t="s">
        <v>714</v>
      </c>
      <c r="O177" s="96" t="s">
        <v>728</v>
      </c>
    </row>
    <row r="178" spans="1:15" ht="15" customHeight="1" x14ac:dyDescent="0.25">
      <c r="A178" s="91" t="s">
        <v>1168</v>
      </c>
      <c r="B178" s="92" t="s">
        <v>780</v>
      </c>
      <c r="C178" s="92" t="s">
        <v>86</v>
      </c>
      <c r="D178" s="92" t="s">
        <v>787</v>
      </c>
      <c r="E178" s="92" t="s">
        <v>1169</v>
      </c>
      <c r="F178" s="92" t="s">
        <v>1170</v>
      </c>
      <c r="G178" s="92"/>
      <c r="H178" s="92">
        <v>45</v>
      </c>
      <c r="I178" s="92">
        <v>0</v>
      </c>
      <c r="J178" s="92">
        <v>79</v>
      </c>
      <c r="K178" s="93">
        <v>26083</v>
      </c>
      <c r="L178" s="93">
        <f t="shared" si="2"/>
        <v>2060557</v>
      </c>
      <c r="M178" s="92" t="s">
        <v>692</v>
      </c>
      <c r="N178" s="92" t="s">
        <v>693</v>
      </c>
      <c r="O178" s="95" t="s">
        <v>694</v>
      </c>
    </row>
    <row r="179" spans="1:15" ht="15" customHeight="1" x14ac:dyDescent="0.25">
      <c r="A179" s="91" t="s">
        <v>1171</v>
      </c>
      <c r="B179" s="92" t="s">
        <v>696</v>
      </c>
      <c r="C179" s="92" t="s">
        <v>96</v>
      </c>
      <c r="D179" s="92" t="s">
        <v>716</v>
      </c>
      <c r="E179" s="92" t="s">
        <v>1098</v>
      </c>
      <c r="F179" s="92" t="s">
        <v>932</v>
      </c>
      <c r="G179" s="92"/>
      <c r="H179" s="92">
        <v>40</v>
      </c>
      <c r="I179" s="92">
        <v>0</v>
      </c>
      <c r="J179" s="92">
        <v>406</v>
      </c>
      <c r="K179" s="93">
        <v>39879</v>
      </c>
      <c r="L179" s="93">
        <f t="shared" si="2"/>
        <v>16190874</v>
      </c>
      <c r="M179" s="92" t="s">
        <v>692</v>
      </c>
      <c r="N179" s="92" t="s">
        <v>701</v>
      </c>
      <c r="O179" s="95" t="s">
        <v>694</v>
      </c>
    </row>
    <row r="180" spans="1:15" ht="15" customHeight="1" x14ac:dyDescent="0.25">
      <c r="A180" s="91" t="s">
        <v>1172</v>
      </c>
      <c r="B180" s="92" t="s">
        <v>710</v>
      </c>
      <c r="C180" s="92" t="s">
        <v>96</v>
      </c>
      <c r="D180" s="92" t="s">
        <v>697</v>
      </c>
      <c r="E180" s="92" t="s">
        <v>1046</v>
      </c>
      <c r="F180" s="92" t="s">
        <v>1125</v>
      </c>
      <c r="G180" s="92" t="s">
        <v>1125</v>
      </c>
      <c r="H180" s="92">
        <v>39</v>
      </c>
      <c r="I180" s="92">
        <v>0</v>
      </c>
      <c r="J180" s="92">
        <v>277</v>
      </c>
      <c r="K180" s="93">
        <v>46689</v>
      </c>
      <c r="L180" s="93">
        <f t="shared" si="2"/>
        <v>12932853</v>
      </c>
      <c r="M180" s="94" t="s">
        <v>727</v>
      </c>
      <c r="N180" s="92" t="s">
        <v>714</v>
      </c>
      <c r="O180" s="96" t="s">
        <v>728</v>
      </c>
    </row>
    <row r="181" spans="1:15" ht="15" customHeight="1" x14ac:dyDescent="0.25">
      <c r="A181" s="91" t="s">
        <v>1173</v>
      </c>
      <c r="B181" s="92" t="s">
        <v>739</v>
      </c>
      <c r="C181" s="92" t="s">
        <v>51</v>
      </c>
      <c r="D181" s="92" t="s">
        <v>716</v>
      </c>
      <c r="E181" s="92" t="s">
        <v>1174</v>
      </c>
      <c r="F181" s="92" t="s">
        <v>750</v>
      </c>
      <c r="G181" s="92" t="s">
        <v>750</v>
      </c>
      <c r="H181" s="92">
        <v>31</v>
      </c>
      <c r="I181" s="92">
        <v>0</v>
      </c>
      <c r="J181" s="92">
        <v>236</v>
      </c>
      <c r="K181" s="93">
        <v>3540</v>
      </c>
      <c r="L181" s="93">
        <f t="shared" si="2"/>
        <v>835440</v>
      </c>
      <c r="M181" s="94" t="s">
        <v>727</v>
      </c>
      <c r="N181" s="92" t="s">
        <v>742</v>
      </c>
      <c r="O181" s="96" t="s">
        <v>728</v>
      </c>
    </row>
    <row r="182" spans="1:15" ht="15" customHeight="1" x14ac:dyDescent="0.25">
      <c r="A182" s="91" t="s">
        <v>1175</v>
      </c>
      <c r="B182" s="92" t="s">
        <v>688</v>
      </c>
      <c r="C182" s="92" t="s">
        <v>68</v>
      </c>
      <c r="D182" s="92" t="s">
        <v>724</v>
      </c>
      <c r="E182" s="92" t="s">
        <v>1176</v>
      </c>
      <c r="F182" s="92" t="s">
        <v>819</v>
      </c>
      <c r="G182" s="92" t="s">
        <v>819</v>
      </c>
      <c r="H182" s="92">
        <v>17</v>
      </c>
      <c r="I182" s="92">
        <v>0</v>
      </c>
      <c r="J182" s="92">
        <v>200</v>
      </c>
      <c r="K182" s="93">
        <v>41690</v>
      </c>
      <c r="L182" s="93">
        <f t="shared" si="2"/>
        <v>8338000</v>
      </c>
      <c r="M182" s="94" t="s">
        <v>727</v>
      </c>
      <c r="N182" s="92" t="s">
        <v>714</v>
      </c>
      <c r="O182" s="96" t="s">
        <v>728</v>
      </c>
    </row>
    <row r="183" spans="1:15" ht="15" customHeight="1" x14ac:dyDescent="0.25">
      <c r="A183" s="91" t="s">
        <v>1177</v>
      </c>
      <c r="B183" s="92" t="s">
        <v>730</v>
      </c>
      <c r="C183" s="92" t="s">
        <v>131</v>
      </c>
      <c r="D183" s="92" t="s">
        <v>697</v>
      </c>
      <c r="E183" s="92" t="s">
        <v>1178</v>
      </c>
      <c r="F183" s="92" t="s">
        <v>1179</v>
      </c>
      <c r="G183" s="92"/>
      <c r="H183" s="92">
        <v>42</v>
      </c>
      <c r="I183" s="92">
        <v>0</v>
      </c>
      <c r="J183" s="92">
        <v>293</v>
      </c>
      <c r="K183" s="93">
        <v>40200</v>
      </c>
      <c r="L183" s="93">
        <f t="shared" si="2"/>
        <v>11778600</v>
      </c>
      <c r="M183" s="92" t="s">
        <v>692</v>
      </c>
      <c r="N183" s="92" t="s">
        <v>693</v>
      </c>
      <c r="O183" s="95" t="s">
        <v>694</v>
      </c>
    </row>
    <row r="184" spans="1:15" ht="15" customHeight="1" x14ac:dyDescent="0.25">
      <c r="A184" s="91" t="s">
        <v>1180</v>
      </c>
      <c r="B184" s="92" t="s">
        <v>780</v>
      </c>
      <c r="C184" s="92" t="s">
        <v>86</v>
      </c>
      <c r="D184" s="92" t="s">
        <v>731</v>
      </c>
      <c r="E184" s="92" t="s">
        <v>777</v>
      </c>
      <c r="F184" s="92" t="s">
        <v>1181</v>
      </c>
      <c r="G184" s="92" t="s">
        <v>1182</v>
      </c>
      <c r="H184" s="92">
        <v>32</v>
      </c>
      <c r="I184" s="92">
        <v>10</v>
      </c>
      <c r="J184" s="92">
        <v>316</v>
      </c>
      <c r="K184" s="93">
        <v>57663</v>
      </c>
      <c r="L184" s="93">
        <f t="shared" si="2"/>
        <v>18221508</v>
      </c>
      <c r="M184" s="94" t="s">
        <v>727</v>
      </c>
      <c r="N184" s="92" t="s">
        <v>701</v>
      </c>
      <c r="O184" s="96" t="s">
        <v>778</v>
      </c>
    </row>
    <row r="185" spans="1:15" ht="15" customHeight="1" x14ac:dyDescent="0.25">
      <c r="A185" s="91" t="s">
        <v>1183</v>
      </c>
      <c r="B185" s="92" t="s">
        <v>720</v>
      </c>
      <c r="C185" s="92" t="s">
        <v>103</v>
      </c>
      <c r="D185" s="92" t="s">
        <v>731</v>
      </c>
      <c r="E185" s="92" t="s">
        <v>858</v>
      </c>
      <c r="F185" s="92" t="s">
        <v>1184</v>
      </c>
      <c r="G185" s="92" t="s">
        <v>1184</v>
      </c>
      <c r="H185" s="92">
        <v>8</v>
      </c>
      <c r="I185" s="92">
        <v>0</v>
      </c>
      <c r="J185" s="92">
        <v>179</v>
      </c>
      <c r="K185" s="93">
        <v>68907</v>
      </c>
      <c r="L185" s="93">
        <f t="shared" si="2"/>
        <v>12334353</v>
      </c>
      <c r="M185" s="94" t="s">
        <v>727</v>
      </c>
      <c r="N185" s="92" t="s">
        <v>693</v>
      </c>
      <c r="O185" s="96" t="s">
        <v>728</v>
      </c>
    </row>
    <row r="186" spans="1:15" ht="15" customHeight="1" x14ac:dyDescent="0.25">
      <c r="A186" s="91" t="s">
        <v>1185</v>
      </c>
      <c r="B186" s="92" t="s">
        <v>735</v>
      </c>
      <c r="C186" s="92" t="s">
        <v>51</v>
      </c>
      <c r="D186" s="92" t="s">
        <v>705</v>
      </c>
      <c r="E186" s="92" t="s">
        <v>1186</v>
      </c>
      <c r="F186" s="92" t="s">
        <v>1054</v>
      </c>
      <c r="G186" s="92" t="s">
        <v>319</v>
      </c>
      <c r="H186" s="92">
        <v>31</v>
      </c>
      <c r="I186" s="92">
        <v>6</v>
      </c>
      <c r="J186" s="92">
        <v>211</v>
      </c>
      <c r="K186" s="93">
        <v>30182</v>
      </c>
      <c r="L186" s="93">
        <f t="shared" si="2"/>
        <v>6368402</v>
      </c>
      <c r="M186" s="94" t="s">
        <v>727</v>
      </c>
      <c r="N186" s="92" t="s">
        <v>742</v>
      </c>
      <c r="O186" s="96" t="s">
        <v>778</v>
      </c>
    </row>
    <row r="187" spans="1:15" ht="15" customHeight="1" x14ac:dyDescent="0.25">
      <c r="A187" s="91" t="s">
        <v>1187</v>
      </c>
      <c r="B187" s="92" t="s">
        <v>753</v>
      </c>
      <c r="C187" s="92" t="s">
        <v>51</v>
      </c>
      <c r="D187" s="92" t="s">
        <v>689</v>
      </c>
      <c r="E187" s="92" t="s">
        <v>1188</v>
      </c>
      <c r="F187" s="92" t="s">
        <v>859</v>
      </c>
      <c r="G187" s="92" t="s">
        <v>859</v>
      </c>
      <c r="H187" s="92">
        <v>26</v>
      </c>
      <c r="I187" s="92">
        <v>0</v>
      </c>
      <c r="J187" s="92">
        <v>157</v>
      </c>
      <c r="K187" s="93">
        <v>10173</v>
      </c>
      <c r="L187" s="93">
        <f t="shared" si="2"/>
        <v>1597161</v>
      </c>
      <c r="M187" s="94" t="s">
        <v>727</v>
      </c>
      <c r="N187" s="92" t="s">
        <v>742</v>
      </c>
      <c r="O187" s="96" t="s">
        <v>728</v>
      </c>
    </row>
    <row r="188" spans="1:15" ht="15" customHeight="1" x14ac:dyDescent="0.25">
      <c r="A188" s="91" t="s">
        <v>1189</v>
      </c>
      <c r="B188" s="92" t="s">
        <v>735</v>
      </c>
      <c r="C188" s="92" t="s">
        <v>51</v>
      </c>
      <c r="D188" s="92" t="s">
        <v>705</v>
      </c>
      <c r="E188" s="92" t="s">
        <v>997</v>
      </c>
      <c r="F188" s="92" t="s">
        <v>892</v>
      </c>
      <c r="G188" s="92" t="s">
        <v>892</v>
      </c>
      <c r="H188" s="92">
        <v>9</v>
      </c>
      <c r="I188" s="92">
        <v>0</v>
      </c>
      <c r="J188" s="92">
        <v>264</v>
      </c>
      <c r="K188" s="93">
        <v>76669</v>
      </c>
      <c r="L188" s="93">
        <f t="shared" si="2"/>
        <v>20240616</v>
      </c>
      <c r="M188" s="94" t="s">
        <v>727</v>
      </c>
      <c r="N188" s="92" t="s">
        <v>701</v>
      </c>
      <c r="O188" s="96" t="s">
        <v>728</v>
      </c>
    </row>
    <row r="189" spans="1:15" ht="15" customHeight="1" x14ac:dyDescent="0.25">
      <c r="A189" s="91" t="s">
        <v>1190</v>
      </c>
      <c r="B189" s="92" t="s">
        <v>735</v>
      </c>
      <c r="C189" s="92" t="s">
        <v>51</v>
      </c>
      <c r="D189" s="92" t="s">
        <v>697</v>
      </c>
      <c r="E189" s="92" t="s">
        <v>713</v>
      </c>
      <c r="F189" s="92" t="s">
        <v>864</v>
      </c>
      <c r="G189" s="92" t="s">
        <v>864</v>
      </c>
      <c r="H189" s="92">
        <v>44</v>
      </c>
      <c r="I189" s="92">
        <v>0</v>
      </c>
      <c r="J189" s="92">
        <v>200</v>
      </c>
      <c r="K189" s="93">
        <v>27745</v>
      </c>
      <c r="L189" s="93">
        <f t="shared" si="2"/>
        <v>5549000</v>
      </c>
      <c r="M189" s="94" t="s">
        <v>727</v>
      </c>
      <c r="N189" s="92" t="s">
        <v>714</v>
      </c>
      <c r="O189" s="96" t="s">
        <v>728</v>
      </c>
    </row>
    <row r="190" spans="1:15" ht="15" customHeight="1" x14ac:dyDescent="0.25">
      <c r="A190" s="91" t="s">
        <v>1191</v>
      </c>
      <c r="B190" s="92" t="s">
        <v>710</v>
      </c>
      <c r="C190" s="92" t="s">
        <v>96</v>
      </c>
      <c r="D190" s="92" t="s">
        <v>716</v>
      </c>
      <c r="E190" s="92" t="s">
        <v>1192</v>
      </c>
      <c r="F190" s="92" t="s">
        <v>1042</v>
      </c>
      <c r="G190" s="92" t="s">
        <v>1042</v>
      </c>
      <c r="H190" s="92">
        <v>20</v>
      </c>
      <c r="I190" s="92">
        <v>0</v>
      </c>
      <c r="J190" s="92">
        <v>342</v>
      </c>
      <c r="K190" s="93">
        <v>29191</v>
      </c>
      <c r="L190" s="93">
        <f t="shared" si="2"/>
        <v>9983322</v>
      </c>
      <c r="M190" s="94" t="s">
        <v>727</v>
      </c>
      <c r="N190" s="92" t="s">
        <v>693</v>
      </c>
      <c r="O190" s="96" t="s">
        <v>728</v>
      </c>
    </row>
    <row r="191" spans="1:15" ht="15" customHeight="1" x14ac:dyDescent="0.25">
      <c r="A191" s="91" t="s">
        <v>1193</v>
      </c>
      <c r="B191" s="92" t="s">
        <v>703</v>
      </c>
      <c r="C191" s="92" t="s">
        <v>704</v>
      </c>
      <c r="D191" s="92" t="s">
        <v>705</v>
      </c>
      <c r="E191" s="92" t="s">
        <v>1067</v>
      </c>
      <c r="F191" s="92" t="s">
        <v>864</v>
      </c>
      <c r="G191" s="92" t="s">
        <v>864</v>
      </c>
      <c r="H191" s="92">
        <v>34</v>
      </c>
      <c r="I191" s="92">
        <v>0</v>
      </c>
      <c r="J191" s="92">
        <v>404</v>
      </c>
      <c r="K191" s="93">
        <v>6865</v>
      </c>
      <c r="L191" s="93">
        <f t="shared" si="2"/>
        <v>2773460</v>
      </c>
      <c r="M191" s="94" t="s">
        <v>727</v>
      </c>
      <c r="N191" s="92" t="s">
        <v>693</v>
      </c>
      <c r="O191" s="96" t="s">
        <v>728</v>
      </c>
    </row>
    <row r="192" spans="1:15" ht="15" customHeight="1" x14ac:dyDescent="0.25">
      <c r="A192" s="91" t="s">
        <v>1194</v>
      </c>
      <c r="B192" s="92" t="s">
        <v>753</v>
      </c>
      <c r="C192" s="92" t="s">
        <v>51</v>
      </c>
      <c r="D192" s="92" t="s">
        <v>724</v>
      </c>
      <c r="E192" s="92" t="s">
        <v>773</v>
      </c>
      <c r="F192" s="92" t="s">
        <v>1195</v>
      </c>
      <c r="G192" s="92" t="s">
        <v>1195</v>
      </c>
      <c r="H192" s="92">
        <v>23</v>
      </c>
      <c r="I192" s="92">
        <v>0</v>
      </c>
      <c r="J192" s="92">
        <v>116</v>
      </c>
      <c r="K192" s="93">
        <v>53276</v>
      </c>
      <c r="L192" s="93">
        <f t="shared" si="2"/>
        <v>6180016</v>
      </c>
      <c r="M192" s="94" t="s">
        <v>727</v>
      </c>
      <c r="N192" s="92" t="s">
        <v>714</v>
      </c>
      <c r="O192" s="96" t="s">
        <v>728</v>
      </c>
    </row>
    <row r="193" spans="1:15" ht="15" customHeight="1" x14ac:dyDescent="0.25">
      <c r="A193" s="91" t="s">
        <v>1196</v>
      </c>
      <c r="B193" s="92" t="s">
        <v>730</v>
      </c>
      <c r="C193" s="92" t="s">
        <v>131</v>
      </c>
      <c r="D193" s="92" t="s">
        <v>716</v>
      </c>
      <c r="E193" s="92" t="s">
        <v>1197</v>
      </c>
      <c r="F193" s="92" t="s">
        <v>1198</v>
      </c>
      <c r="G193" s="92" t="s">
        <v>1198</v>
      </c>
      <c r="H193" s="92">
        <v>44</v>
      </c>
      <c r="I193" s="92">
        <v>0</v>
      </c>
      <c r="J193" s="92">
        <v>272</v>
      </c>
      <c r="K193" s="93">
        <v>40660</v>
      </c>
      <c r="L193" s="93">
        <f t="shared" si="2"/>
        <v>11059520</v>
      </c>
      <c r="M193" s="94" t="s">
        <v>727</v>
      </c>
      <c r="N193" s="92" t="s">
        <v>742</v>
      </c>
      <c r="O193" s="96" t="s">
        <v>728</v>
      </c>
    </row>
    <row r="194" spans="1:15" ht="15" customHeight="1" x14ac:dyDescent="0.25">
      <c r="A194" s="91" t="s">
        <v>1199</v>
      </c>
      <c r="B194" s="92" t="s">
        <v>720</v>
      </c>
      <c r="C194" s="92" t="s">
        <v>103</v>
      </c>
      <c r="D194" s="92" t="s">
        <v>716</v>
      </c>
      <c r="E194" s="92" t="s">
        <v>1027</v>
      </c>
      <c r="F194" s="92" t="s">
        <v>1200</v>
      </c>
      <c r="G194" s="92" t="s">
        <v>1200</v>
      </c>
      <c r="H194" s="92">
        <v>26</v>
      </c>
      <c r="I194" s="92">
        <v>0</v>
      </c>
      <c r="J194" s="92">
        <v>277</v>
      </c>
      <c r="K194" s="93">
        <v>26978</v>
      </c>
      <c r="L194" s="93">
        <f t="shared" ref="L194:L257" si="3">J194*K194</f>
        <v>7472906</v>
      </c>
      <c r="M194" s="94" t="s">
        <v>727</v>
      </c>
      <c r="N194" s="92" t="s">
        <v>708</v>
      </c>
      <c r="O194" s="96" t="s">
        <v>728</v>
      </c>
    </row>
    <row r="195" spans="1:15" ht="15" customHeight="1" x14ac:dyDescent="0.25">
      <c r="A195" s="91" t="s">
        <v>1201</v>
      </c>
      <c r="B195" s="92" t="s">
        <v>739</v>
      </c>
      <c r="C195" s="92" t="s">
        <v>51</v>
      </c>
      <c r="D195" s="92" t="s">
        <v>724</v>
      </c>
      <c r="E195" s="92" t="s">
        <v>1202</v>
      </c>
      <c r="F195" s="92" t="s">
        <v>1054</v>
      </c>
      <c r="G195" s="92" t="s">
        <v>1054</v>
      </c>
      <c r="H195" s="92">
        <v>39</v>
      </c>
      <c r="I195" s="92">
        <v>0</v>
      </c>
      <c r="J195" s="92">
        <v>452</v>
      </c>
      <c r="K195" s="93">
        <v>2072</v>
      </c>
      <c r="L195" s="93">
        <f t="shared" si="3"/>
        <v>936544</v>
      </c>
      <c r="M195" s="94" t="s">
        <v>727</v>
      </c>
      <c r="N195" s="92" t="s">
        <v>693</v>
      </c>
      <c r="O195" s="96" t="s">
        <v>728</v>
      </c>
    </row>
    <row r="196" spans="1:15" ht="15" customHeight="1" x14ac:dyDescent="0.25">
      <c r="A196" s="91" t="s">
        <v>1203</v>
      </c>
      <c r="B196" s="92" t="s">
        <v>780</v>
      </c>
      <c r="C196" s="92" t="s">
        <v>86</v>
      </c>
      <c r="D196" s="92" t="s">
        <v>697</v>
      </c>
      <c r="E196" s="92" t="s">
        <v>1204</v>
      </c>
      <c r="F196" s="92" t="s">
        <v>1205</v>
      </c>
      <c r="G196" s="92"/>
      <c r="H196" s="92">
        <v>20</v>
      </c>
      <c r="I196" s="92">
        <v>0</v>
      </c>
      <c r="J196" s="92">
        <v>422</v>
      </c>
      <c r="K196" s="93">
        <v>63217</v>
      </c>
      <c r="L196" s="93">
        <f t="shared" si="3"/>
        <v>26677574</v>
      </c>
      <c r="M196" s="92" t="s">
        <v>692</v>
      </c>
      <c r="N196" s="92" t="s">
        <v>708</v>
      </c>
      <c r="O196" s="95" t="s">
        <v>694</v>
      </c>
    </row>
    <row r="197" spans="1:15" ht="15" customHeight="1" x14ac:dyDescent="0.25">
      <c r="A197" s="91" t="s">
        <v>1206</v>
      </c>
      <c r="B197" s="92" t="s">
        <v>703</v>
      </c>
      <c r="C197" s="92" t="s">
        <v>704</v>
      </c>
      <c r="D197" s="92" t="s">
        <v>787</v>
      </c>
      <c r="E197" s="92" t="s">
        <v>1207</v>
      </c>
      <c r="F197" s="92" t="s">
        <v>1208</v>
      </c>
      <c r="G197" s="92"/>
      <c r="H197" s="92">
        <v>43</v>
      </c>
      <c r="I197" s="92">
        <v>0</v>
      </c>
      <c r="J197" s="92">
        <v>31</v>
      </c>
      <c r="K197" s="93">
        <v>44632</v>
      </c>
      <c r="L197" s="93">
        <f t="shared" si="3"/>
        <v>1383592</v>
      </c>
      <c r="M197" s="92" t="s">
        <v>692</v>
      </c>
      <c r="N197" s="92" t="s">
        <v>701</v>
      </c>
      <c r="O197" s="95" t="s">
        <v>694</v>
      </c>
    </row>
    <row r="198" spans="1:15" ht="15" customHeight="1" x14ac:dyDescent="0.25">
      <c r="A198" s="91" t="s">
        <v>1209</v>
      </c>
      <c r="B198" s="92" t="s">
        <v>710</v>
      </c>
      <c r="C198" s="92" t="s">
        <v>96</v>
      </c>
      <c r="D198" s="92" t="s">
        <v>711</v>
      </c>
      <c r="E198" s="92" t="s">
        <v>1210</v>
      </c>
      <c r="F198" s="92" t="s">
        <v>1211</v>
      </c>
      <c r="G198" s="92" t="s">
        <v>1211</v>
      </c>
      <c r="H198" s="92">
        <v>22</v>
      </c>
      <c r="I198" s="92">
        <v>0</v>
      </c>
      <c r="J198" s="92">
        <v>433</v>
      </c>
      <c r="K198" s="93">
        <v>37290</v>
      </c>
      <c r="L198" s="93">
        <f t="shared" si="3"/>
        <v>16146570</v>
      </c>
      <c r="M198" s="94" t="s">
        <v>727</v>
      </c>
      <c r="N198" s="92" t="s">
        <v>701</v>
      </c>
      <c r="O198" s="96" t="s">
        <v>728</v>
      </c>
    </row>
    <row r="199" spans="1:15" ht="15" customHeight="1" x14ac:dyDescent="0.25">
      <c r="A199" s="91" t="s">
        <v>1212</v>
      </c>
      <c r="B199" s="92" t="s">
        <v>696</v>
      </c>
      <c r="C199" s="92" t="s">
        <v>96</v>
      </c>
      <c r="D199" s="92" t="s">
        <v>689</v>
      </c>
      <c r="E199" s="92" t="s">
        <v>1213</v>
      </c>
      <c r="F199" s="92" t="s">
        <v>1039</v>
      </c>
      <c r="G199" s="92" t="s">
        <v>1039</v>
      </c>
      <c r="H199" s="92">
        <v>33</v>
      </c>
      <c r="I199" s="92">
        <v>0</v>
      </c>
      <c r="J199" s="92">
        <v>132</v>
      </c>
      <c r="K199" s="93">
        <v>58539</v>
      </c>
      <c r="L199" s="93">
        <f t="shared" si="3"/>
        <v>7727148</v>
      </c>
      <c r="M199" s="94" t="s">
        <v>727</v>
      </c>
      <c r="N199" s="92" t="s">
        <v>742</v>
      </c>
      <c r="O199" s="96" t="s">
        <v>728</v>
      </c>
    </row>
    <row r="200" spans="1:15" ht="15" customHeight="1" x14ac:dyDescent="0.25">
      <c r="A200" s="91" t="s">
        <v>1214</v>
      </c>
      <c r="B200" s="92" t="s">
        <v>739</v>
      </c>
      <c r="C200" s="92" t="s">
        <v>51</v>
      </c>
      <c r="D200" s="92" t="s">
        <v>689</v>
      </c>
      <c r="E200" s="92" t="s">
        <v>1215</v>
      </c>
      <c r="F200" s="92" t="s">
        <v>908</v>
      </c>
      <c r="G200" s="92" t="s">
        <v>908</v>
      </c>
      <c r="H200" s="92">
        <v>14</v>
      </c>
      <c r="I200" s="92">
        <v>0</v>
      </c>
      <c r="J200" s="92">
        <v>424</v>
      </c>
      <c r="K200" s="93">
        <v>26741</v>
      </c>
      <c r="L200" s="93">
        <f t="shared" si="3"/>
        <v>11338184</v>
      </c>
      <c r="M200" s="94" t="s">
        <v>727</v>
      </c>
      <c r="N200" s="92" t="s">
        <v>708</v>
      </c>
      <c r="O200" s="96" t="s">
        <v>728</v>
      </c>
    </row>
    <row r="201" spans="1:15" ht="15" customHeight="1" x14ac:dyDescent="0.25">
      <c r="A201" s="91" t="s">
        <v>1216</v>
      </c>
      <c r="B201" s="92" t="s">
        <v>688</v>
      </c>
      <c r="C201" s="92" t="s">
        <v>68</v>
      </c>
      <c r="D201" s="92" t="s">
        <v>787</v>
      </c>
      <c r="E201" s="92" t="s">
        <v>888</v>
      </c>
      <c r="F201" s="92" t="s">
        <v>1103</v>
      </c>
      <c r="G201" s="92"/>
      <c r="H201" s="92">
        <v>34</v>
      </c>
      <c r="I201" s="92">
        <v>0</v>
      </c>
      <c r="J201" s="92">
        <v>19</v>
      </c>
      <c r="K201" s="93">
        <v>17568</v>
      </c>
      <c r="L201" s="93">
        <f t="shared" si="3"/>
        <v>333792</v>
      </c>
      <c r="M201" s="92" t="s">
        <v>692</v>
      </c>
      <c r="N201" s="92" t="s">
        <v>701</v>
      </c>
      <c r="O201" s="95" t="s">
        <v>694</v>
      </c>
    </row>
    <row r="202" spans="1:15" ht="15" customHeight="1" x14ac:dyDescent="0.25">
      <c r="A202" s="91" t="s">
        <v>1217</v>
      </c>
      <c r="B202" s="92" t="s">
        <v>780</v>
      </c>
      <c r="C202" s="92" t="s">
        <v>86</v>
      </c>
      <c r="D202" s="92" t="s">
        <v>731</v>
      </c>
      <c r="E202" s="92" t="s">
        <v>1218</v>
      </c>
      <c r="F202" s="92" t="s">
        <v>1219</v>
      </c>
      <c r="G202" s="92"/>
      <c r="H202" s="92">
        <v>23</v>
      </c>
      <c r="I202" s="92">
        <v>0</v>
      </c>
      <c r="J202" s="92">
        <v>143</v>
      </c>
      <c r="K202" s="93">
        <v>56158</v>
      </c>
      <c r="L202" s="93">
        <f t="shared" si="3"/>
        <v>8030594</v>
      </c>
      <c r="M202" s="92" t="s">
        <v>692</v>
      </c>
      <c r="N202" s="92" t="s">
        <v>742</v>
      </c>
      <c r="O202" s="95" t="s">
        <v>694</v>
      </c>
    </row>
    <row r="203" spans="1:15" ht="15" customHeight="1" x14ac:dyDescent="0.25">
      <c r="A203" s="91" t="s">
        <v>1220</v>
      </c>
      <c r="B203" s="92" t="s">
        <v>735</v>
      </c>
      <c r="C203" s="92" t="s">
        <v>51</v>
      </c>
      <c r="D203" s="92" t="s">
        <v>697</v>
      </c>
      <c r="E203" s="92" t="s">
        <v>1221</v>
      </c>
      <c r="F203" s="92" t="s">
        <v>1222</v>
      </c>
      <c r="G203" s="92" t="s">
        <v>1222</v>
      </c>
      <c r="H203" s="92">
        <v>8</v>
      </c>
      <c r="I203" s="92">
        <v>0</v>
      </c>
      <c r="J203" s="92">
        <v>153</v>
      </c>
      <c r="K203" s="93">
        <v>73776</v>
      </c>
      <c r="L203" s="93">
        <f t="shared" si="3"/>
        <v>11287728</v>
      </c>
      <c r="M203" s="94" t="s">
        <v>727</v>
      </c>
      <c r="N203" s="92" t="s">
        <v>708</v>
      </c>
      <c r="O203" s="96" t="s">
        <v>728</v>
      </c>
    </row>
    <row r="204" spans="1:15" ht="15" customHeight="1" x14ac:dyDescent="0.25">
      <c r="A204" s="91" t="s">
        <v>1223</v>
      </c>
      <c r="B204" s="92" t="s">
        <v>720</v>
      </c>
      <c r="C204" s="92" t="s">
        <v>103</v>
      </c>
      <c r="D204" s="92" t="s">
        <v>716</v>
      </c>
      <c r="E204" s="92" t="s">
        <v>1031</v>
      </c>
      <c r="F204" s="92" t="s">
        <v>1224</v>
      </c>
      <c r="G204" s="92"/>
      <c r="H204" s="92">
        <v>32</v>
      </c>
      <c r="I204" s="92">
        <v>7</v>
      </c>
      <c r="J204" s="92">
        <v>121</v>
      </c>
      <c r="K204" s="93">
        <v>9958</v>
      </c>
      <c r="L204" s="93">
        <f t="shared" si="3"/>
        <v>1204918</v>
      </c>
      <c r="M204" s="94" t="s">
        <v>700</v>
      </c>
      <c r="N204" s="92" t="s">
        <v>693</v>
      </c>
      <c r="O204" s="95" t="s">
        <v>694</v>
      </c>
    </row>
    <row r="205" spans="1:15" ht="15" customHeight="1" x14ac:dyDescent="0.25">
      <c r="A205" s="91" t="s">
        <v>1225</v>
      </c>
      <c r="B205" s="92" t="s">
        <v>696</v>
      </c>
      <c r="C205" s="92" t="s">
        <v>96</v>
      </c>
      <c r="D205" s="92" t="s">
        <v>724</v>
      </c>
      <c r="E205" s="92" t="s">
        <v>1219</v>
      </c>
      <c r="F205" s="92" t="s">
        <v>1226</v>
      </c>
      <c r="G205" s="92"/>
      <c r="H205" s="92">
        <v>38</v>
      </c>
      <c r="I205" s="92">
        <v>0</v>
      </c>
      <c r="J205" s="92">
        <v>122</v>
      </c>
      <c r="K205" s="93">
        <v>51185</v>
      </c>
      <c r="L205" s="93">
        <f t="shared" si="3"/>
        <v>6244570</v>
      </c>
      <c r="M205" s="94" t="s">
        <v>759</v>
      </c>
      <c r="N205" s="92" t="s">
        <v>701</v>
      </c>
      <c r="O205" s="95" t="s">
        <v>694</v>
      </c>
    </row>
    <row r="206" spans="1:15" ht="15" customHeight="1" x14ac:dyDescent="0.25">
      <c r="A206" s="91" t="s">
        <v>1227</v>
      </c>
      <c r="B206" s="92" t="s">
        <v>720</v>
      </c>
      <c r="C206" s="92" t="s">
        <v>103</v>
      </c>
      <c r="D206" s="92" t="s">
        <v>787</v>
      </c>
      <c r="E206" s="92" t="s">
        <v>1228</v>
      </c>
      <c r="F206" s="92" t="s">
        <v>1229</v>
      </c>
      <c r="G206" s="92"/>
      <c r="H206" s="92">
        <v>22</v>
      </c>
      <c r="I206" s="92">
        <v>9</v>
      </c>
      <c r="J206" s="92">
        <v>74</v>
      </c>
      <c r="K206" s="93">
        <v>9526</v>
      </c>
      <c r="L206" s="93">
        <f t="shared" si="3"/>
        <v>704924</v>
      </c>
      <c r="M206" s="94" t="s">
        <v>700</v>
      </c>
      <c r="N206" s="92" t="s">
        <v>742</v>
      </c>
      <c r="O206" s="95" t="s">
        <v>694</v>
      </c>
    </row>
    <row r="207" spans="1:15" ht="15" customHeight="1" x14ac:dyDescent="0.25">
      <c r="A207" s="91" t="s">
        <v>1230</v>
      </c>
      <c r="B207" s="92" t="s">
        <v>703</v>
      </c>
      <c r="C207" s="92" t="s">
        <v>704</v>
      </c>
      <c r="D207" s="92" t="s">
        <v>697</v>
      </c>
      <c r="E207" s="92" t="s">
        <v>1231</v>
      </c>
      <c r="F207" s="92" t="s">
        <v>1232</v>
      </c>
      <c r="G207" s="92" t="s">
        <v>1232</v>
      </c>
      <c r="H207" s="92">
        <v>33</v>
      </c>
      <c r="I207" s="92">
        <v>0</v>
      </c>
      <c r="J207" s="92">
        <v>274</v>
      </c>
      <c r="K207" s="93">
        <v>32163</v>
      </c>
      <c r="L207" s="93">
        <f t="shared" si="3"/>
        <v>8812662</v>
      </c>
      <c r="M207" s="94" t="s">
        <v>727</v>
      </c>
      <c r="N207" s="92" t="s">
        <v>714</v>
      </c>
      <c r="O207" s="96" t="s">
        <v>728</v>
      </c>
    </row>
    <row r="208" spans="1:15" ht="15" customHeight="1" x14ac:dyDescent="0.25">
      <c r="A208" s="91" t="s">
        <v>1233</v>
      </c>
      <c r="B208" s="92" t="s">
        <v>720</v>
      </c>
      <c r="C208" s="92" t="s">
        <v>103</v>
      </c>
      <c r="D208" s="92" t="s">
        <v>787</v>
      </c>
      <c r="E208" s="92" t="s">
        <v>926</v>
      </c>
      <c r="F208" s="92" t="s">
        <v>717</v>
      </c>
      <c r="G208" s="92"/>
      <c r="H208" s="92">
        <v>37</v>
      </c>
      <c r="I208" s="92">
        <v>0</v>
      </c>
      <c r="J208" s="92">
        <v>494</v>
      </c>
      <c r="K208" s="93">
        <v>23969</v>
      </c>
      <c r="L208" s="93">
        <f t="shared" si="3"/>
        <v>11840686</v>
      </c>
      <c r="M208" s="92" t="s">
        <v>692</v>
      </c>
      <c r="N208" s="92" t="s">
        <v>742</v>
      </c>
      <c r="O208" s="95" t="s">
        <v>694</v>
      </c>
    </row>
    <row r="209" spans="1:15" ht="15" customHeight="1" x14ac:dyDescent="0.25">
      <c r="A209" s="91" t="s">
        <v>1234</v>
      </c>
      <c r="B209" s="92" t="s">
        <v>720</v>
      </c>
      <c r="C209" s="92" t="s">
        <v>103</v>
      </c>
      <c r="D209" s="92" t="s">
        <v>697</v>
      </c>
      <c r="E209" s="92" t="s">
        <v>1235</v>
      </c>
      <c r="F209" s="92" t="s">
        <v>1236</v>
      </c>
      <c r="G209" s="92"/>
      <c r="H209" s="92">
        <v>30</v>
      </c>
      <c r="I209" s="92">
        <v>0</v>
      </c>
      <c r="J209" s="92">
        <v>11</v>
      </c>
      <c r="K209" s="93">
        <v>55036</v>
      </c>
      <c r="L209" s="93">
        <f t="shared" si="3"/>
        <v>605396</v>
      </c>
      <c r="M209" s="92" t="s">
        <v>692</v>
      </c>
      <c r="N209" s="92" t="s">
        <v>693</v>
      </c>
      <c r="O209" s="95" t="s">
        <v>694</v>
      </c>
    </row>
    <row r="210" spans="1:15" ht="15" customHeight="1" x14ac:dyDescent="0.25">
      <c r="A210" s="91" t="s">
        <v>1237</v>
      </c>
      <c r="B210" s="92" t="s">
        <v>735</v>
      </c>
      <c r="C210" s="92" t="s">
        <v>51</v>
      </c>
      <c r="D210" s="92" t="s">
        <v>731</v>
      </c>
      <c r="E210" s="92" t="s">
        <v>1238</v>
      </c>
      <c r="F210" s="92" t="s">
        <v>1239</v>
      </c>
      <c r="G210" s="92" t="s">
        <v>1239</v>
      </c>
      <c r="H210" s="92">
        <v>22</v>
      </c>
      <c r="I210" s="92">
        <v>0</v>
      </c>
      <c r="J210" s="92">
        <v>491</v>
      </c>
      <c r="K210" s="93">
        <v>59702</v>
      </c>
      <c r="L210" s="93">
        <f t="shared" si="3"/>
        <v>29313682</v>
      </c>
      <c r="M210" s="94" t="s">
        <v>727</v>
      </c>
      <c r="N210" s="92" t="s">
        <v>714</v>
      </c>
      <c r="O210" s="96" t="s">
        <v>728</v>
      </c>
    </row>
    <row r="211" spans="1:15" ht="15" customHeight="1" x14ac:dyDescent="0.25">
      <c r="A211" s="91" t="s">
        <v>1240</v>
      </c>
      <c r="B211" s="92" t="s">
        <v>688</v>
      </c>
      <c r="C211" s="92" t="s">
        <v>68</v>
      </c>
      <c r="D211" s="92" t="s">
        <v>689</v>
      </c>
      <c r="E211" s="92" t="s">
        <v>1241</v>
      </c>
      <c r="F211" s="92" t="s">
        <v>1242</v>
      </c>
      <c r="G211" s="92" t="s">
        <v>1154</v>
      </c>
      <c r="H211" s="92">
        <v>35</v>
      </c>
      <c r="I211" s="92">
        <v>7</v>
      </c>
      <c r="J211" s="92">
        <v>470</v>
      </c>
      <c r="K211" s="93">
        <v>22093</v>
      </c>
      <c r="L211" s="93">
        <f t="shared" si="3"/>
        <v>10383710</v>
      </c>
      <c r="M211" s="94" t="s">
        <v>727</v>
      </c>
      <c r="N211" s="92" t="s">
        <v>714</v>
      </c>
      <c r="O211" s="96" t="s">
        <v>778</v>
      </c>
    </row>
    <row r="212" spans="1:15" ht="15" customHeight="1" x14ac:dyDescent="0.25">
      <c r="A212" s="91" t="s">
        <v>1243</v>
      </c>
      <c r="B212" s="92" t="s">
        <v>753</v>
      </c>
      <c r="C212" s="92" t="s">
        <v>51</v>
      </c>
      <c r="D212" s="92" t="s">
        <v>724</v>
      </c>
      <c r="E212" s="92" t="s">
        <v>755</v>
      </c>
      <c r="F212" s="92" t="s">
        <v>1244</v>
      </c>
      <c r="G212" s="92"/>
      <c r="H212" s="92">
        <v>20</v>
      </c>
      <c r="I212" s="92">
        <v>0</v>
      </c>
      <c r="J212" s="92">
        <v>83</v>
      </c>
      <c r="K212" s="93">
        <v>77893</v>
      </c>
      <c r="L212" s="93">
        <f t="shared" si="3"/>
        <v>6465119</v>
      </c>
      <c r="M212" s="94" t="s">
        <v>759</v>
      </c>
      <c r="N212" s="92" t="s">
        <v>701</v>
      </c>
      <c r="O212" s="95" t="s">
        <v>694</v>
      </c>
    </row>
    <row r="213" spans="1:15" ht="15" customHeight="1" x14ac:dyDescent="0.25">
      <c r="A213" s="91" t="s">
        <v>1245</v>
      </c>
      <c r="B213" s="92" t="s">
        <v>739</v>
      </c>
      <c r="C213" s="92" t="s">
        <v>51</v>
      </c>
      <c r="D213" s="92" t="s">
        <v>731</v>
      </c>
      <c r="E213" s="92" t="s">
        <v>1077</v>
      </c>
      <c r="F213" s="92" t="s">
        <v>1020</v>
      </c>
      <c r="G213" s="92"/>
      <c r="H213" s="92">
        <v>24</v>
      </c>
      <c r="I213" s="92">
        <v>0</v>
      </c>
      <c r="J213" s="92">
        <v>422</v>
      </c>
      <c r="K213" s="93">
        <v>66364</v>
      </c>
      <c r="L213" s="93">
        <f t="shared" si="3"/>
        <v>28005608</v>
      </c>
      <c r="M213" s="94" t="s">
        <v>759</v>
      </c>
      <c r="N213" s="92" t="s">
        <v>708</v>
      </c>
      <c r="O213" s="95" t="s">
        <v>694</v>
      </c>
    </row>
    <row r="214" spans="1:15" ht="15" customHeight="1" x14ac:dyDescent="0.25">
      <c r="A214" s="91" t="s">
        <v>1246</v>
      </c>
      <c r="B214" s="92" t="s">
        <v>710</v>
      </c>
      <c r="C214" s="92" t="s">
        <v>96</v>
      </c>
      <c r="D214" s="92" t="s">
        <v>787</v>
      </c>
      <c r="E214" s="92" t="s">
        <v>775</v>
      </c>
      <c r="F214" s="92" t="s">
        <v>901</v>
      </c>
      <c r="G214" s="92"/>
      <c r="H214" s="92">
        <v>28</v>
      </c>
      <c r="I214" s="92">
        <v>0</v>
      </c>
      <c r="J214" s="92">
        <v>449</v>
      </c>
      <c r="K214" s="93">
        <v>78117</v>
      </c>
      <c r="L214" s="93">
        <f t="shared" si="3"/>
        <v>35074533</v>
      </c>
      <c r="M214" s="92" t="s">
        <v>692</v>
      </c>
      <c r="N214" s="92" t="s">
        <v>714</v>
      </c>
      <c r="O214" s="95" t="s">
        <v>694</v>
      </c>
    </row>
    <row r="215" spans="1:15" ht="15" customHeight="1" x14ac:dyDescent="0.25">
      <c r="A215" s="91" t="s">
        <v>1247</v>
      </c>
      <c r="B215" s="92" t="s">
        <v>780</v>
      </c>
      <c r="C215" s="92" t="s">
        <v>86</v>
      </c>
      <c r="D215" s="92" t="s">
        <v>724</v>
      </c>
      <c r="E215" s="92" t="s">
        <v>920</v>
      </c>
      <c r="F215" s="92" t="s">
        <v>935</v>
      </c>
      <c r="G215" s="92" t="s">
        <v>935</v>
      </c>
      <c r="H215" s="92">
        <v>39</v>
      </c>
      <c r="I215" s="92">
        <v>0</v>
      </c>
      <c r="J215" s="92">
        <v>417</v>
      </c>
      <c r="K215" s="93">
        <v>46783</v>
      </c>
      <c r="L215" s="93">
        <f t="shared" si="3"/>
        <v>19508511</v>
      </c>
      <c r="M215" s="94" t="s">
        <v>727</v>
      </c>
      <c r="N215" s="92" t="s">
        <v>701</v>
      </c>
      <c r="O215" s="96" t="s">
        <v>728</v>
      </c>
    </row>
    <row r="216" spans="1:15" ht="15" customHeight="1" x14ac:dyDescent="0.25">
      <c r="A216" s="91" t="s">
        <v>1248</v>
      </c>
      <c r="B216" s="92" t="s">
        <v>710</v>
      </c>
      <c r="C216" s="92" t="s">
        <v>96</v>
      </c>
      <c r="D216" s="92" t="s">
        <v>731</v>
      </c>
      <c r="E216" s="92" t="s">
        <v>1014</v>
      </c>
      <c r="F216" s="92" t="s">
        <v>1249</v>
      </c>
      <c r="G216" s="92"/>
      <c r="H216" s="92">
        <v>10</v>
      </c>
      <c r="I216" s="92">
        <v>0</v>
      </c>
      <c r="J216" s="92">
        <v>95</v>
      </c>
      <c r="K216" s="93">
        <v>53748</v>
      </c>
      <c r="L216" s="93">
        <f t="shared" si="3"/>
        <v>5106060</v>
      </c>
      <c r="M216" s="92" t="s">
        <v>692</v>
      </c>
      <c r="N216" s="92" t="s">
        <v>742</v>
      </c>
      <c r="O216" s="95" t="s">
        <v>694</v>
      </c>
    </row>
    <row r="217" spans="1:15" ht="15" customHeight="1" x14ac:dyDescent="0.25">
      <c r="A217" s="91" t="s">
        <v>1250</v>
      </c>
      <c r="B217" s="92" t="s">
        <v>735</v>
      </c>
      <c r="C217" s="92" t="s">
        <v>51</v>
      </c>
      <c r="D217" s="92" t="s">
        <v>787</v>
      </c>
      <c r="E217" s="92" t="s">
        <v>1251</v>
      </c>
      <c r="F217" s="92" t="s">
        <v>917</v>
      </c>
      <c r="G217" s="92"/>
      <c r="H217" s="92">
        <v>19</v>
      </c>
      <c r="I217" s="92">
        <v>0</v>
      </c>
      <c r="J217" s="92">
        <v>161</v>
      </c>
      <c r="K217" s="93">
        <v>49156</v>
      </c>
      <c r="L217" s="93">
        <f t="shared" si="3"/>
        <v>7914116</v>
      </c>
      <c r="M217" s="92" t="s">
        <v>692</v>
      </c>
      <c r="N217" s="92" t="s">
        <v>714</v>
      </c>
      <c r="O217" s="95" t="s">
        <v>694</v>
      </c>
    </row>
    <row r="218" spans="1:15" ht="15" customHeight="1" x14ac:dyDescent="0.25">
      <c r="A218" s="91" t="s">
        <v>1252</v>
      </c>
      <c r="B218" s="92" t="s">
        <v>780</v>
      </c>
      <c r="C218" s="92" t="s">
        <v>86</v>
      </c>
      <c r="D218" s="92" t="s">
        <v>689</v>
      </c>
      <c r="E218" s="92" t="s">
        <v>1253</v>
      </c>
      <c r="F218" s="92" t="s">
        <v>834</v>
      </c>
      <c r="G218" s="92"/>
      <c r="H218" s="92">
        <v>40</v>
      </c>
      <c r="I218" s="92">
        <v>0</v>
      </c>
      <c r="J218" s="92">
        <v>394</v>
      </c>
      <c r="K218" s="93">
        <v>70688</v>
      </c>
      <c r="L218" s="93">
        <f t="shared" si="3"/>
        <v>27851072</v>
      </c>
      <c r="M218" s="92" t="s">
        <v>692</v>
      </c>
      <c r="N218" s="92" t="s">
        <v>742</v>
      </c>
      <c r="O218" s="95" t="s">
        <v>694</v>
      </c>
    </row>
    <row r="219" spans="1:15" ht="15" customHeight="1" x14ac:dyDescent="0.25">
      <c r="A219" s="91" t="s">
        <v>1254</v>
      </c>
      <c r="B219" s="92" t="s">
        <v>730</v>
      </c>
      <c r="C219" s="92" t="s">
        <v>131</v>
      </c>
      <c r="D219" s="92" t="s">
        <v>787</v>
      </c>
      <c r="E219" s="92" t="s">
        <v>855</v>
      </c>
      <c r="F219" s="92" t="s">
        <v>896</v>
      </c>
      <c r="G219" s="92" t="s">
        <v>896</v>
      </c>
      <c r="H219" s="92">
        <v>27</v>
      </c>
      <c r="I219" s="92">
        <v>0</v>
      </c>
      <c r="J219" s="92">
        <v>134</v>
      </c>
      <c r="K219" s="93">
        <v>15159</v>
      </c>
      <c r="L219" s="93">
        <f t="shared" si="3"/>
        <v>2031306</v>
      </c>
      <c r="M219" s="94" t="s">
        <v>727</v>
      </c>
      <c r="N219" s="92" t="s">
        <v>693</v>
      </c>
      <c r="O219" s="96" t="s">
        <v>728</v>
      </c>
    </row>
    <row r="220" spans="1:15" ht="15" customHeight="1" x14ac:dyDescent="0.25">
      <c r="A220" s="91" t="s">
        <v>1255</v>
      </c>
      <c r="B220" s="92" t="s">
        <v>720</v>
      </c>
      <c r="C220" s="92" t="s">
        <v>103</v>
      </c>
      <c r="D220" s="92" t="s">
        <v>724</v>
      </c>
      <c r="E220" s="92" t="s">
        <v>944</v>
      </c>
      <c r="F220" s="92" t="s">
        <v>1256</v>
      </c>
      <c r="G220" s="92" t="s">
        <v>1256</v>
      </c>
      <c r="H220" s="92">
        <v>19</v>
      </c>
      <c r="I220" s="92">
        <v>0</v>
      </c>
      <c r="J220" s="92">
        <v>449</v>
      </c>
      <c r="K220" s="93">
        <v>32384</v>
      </c>
      <c r="L220" s="93">
        <f t="shared" si="3"/>
        <v>14540416</v>
      </c>
      <c r="M220" s="94" t="s">
        <v>727</v>
      </c>
      <c r="N220" s="92" t="s">
        <v>693</v>
      </c>
      <c r="O220" s="96" t="s">
        <v>728</v>
      </c>
    </row>
    <row r="221" spans="1:15" ht="15" customHeight="1" x14ac:dyDescent="0.25">
      <c r="A221" s="91" t="s">
        <v>1257</v>
      </c>
      <c r="B221" s="92" t="s">
        <v>753</v>
      </c>
      <c r="C221" s="92" t="s">
        <v>51</v>
      </c>
      <c r="D221" s="92" t="s">
        <v>731</v>
      </c>
      <c r="E221" s="92" t="s">
        <v>1258</v>
      </c>
      <c r="F221" s="92" t="s">
        <v>1259</v>
      </c>
      <c r="G221" s="92"/>
      <c r="H221" s="92">
        <v>8</v>
      </c>
      <c r="I221" s="92">
        <v>10</v>
      </c>
      <c r="J221" s="92">
        <v>465</v>
      </c>
      <c r="K221" s="93">
        <v>8019</v>
      </c>
      <c r="L221" s="93">
        <f t="shared" si="3"/>
        <v>3728835</v>
      </c>
      <c r="M221" s="94" t="s">
        <v>700</v>
      </c>
      <c r="N221" s="92" t="s">
        <v>708</v>
      </c>
      <c r="O221" s="95" t="s">
        <v>694</v>
      </c>
    </row>
    <row r="222" spans="1:15" ht="15" customHeight="1" x14ac:dyDescent="0.25">
      <c r="A222" s="91" t="s">
        <v>1260</v>
      </c>
      <c r="B222" s="92" t="s">
        <v>753</v>
      </c>
      <c r="C222" s="92" t="s">
        <v>51</v>
      </c>
      <c r="D222" s="92" t="s">
        <v>724</v>
      </c>
      <c r="E222" s="92" t="s">
        <v>777</v>
      </c>
      <c r="F222" s="92" t="s">
        <v>1261</v>
      </c>
      <c r="G222" s="92" t="s">
        <v>1261</v>
      </c>
      <c r="H222" s="92">
        <v>17</v>
      </c>
      <c r="I222" s="92">
        <v>0</v>
      </c>
      <c r="J222" s="92">
        <v>134</v>
      </c>
      <c r="K222" s="93">
        <v>13112</v>
      </c>
      <c r="L222" s="93">
        <f t="shared" si="3"/>
        <v>1757008</v>
      </c>
      <c r="M222" s="94" t="s">
        <v>727</v>
      </c>
      <c r="N222" s="92" t="s">
        <v>701</v>
      </c>
      <c r="O222" s="96" t="s">
        <v>728</v>
      </c>
    </row>
    <row r="223" spans="1:15" ht="15" customHeight="1" x14ac:dyDescent="0.25">
      <c r="A223" s="91" t="s">
        <v>1262</v>
      </c>
      <c r="B223" s="92" t="s">
        <v>780</v>
      </c>
      <c r="C223" s="92" t="s">
        <v>86</v>
      </c>
      <c r="D223" s="92" t="s">
        <v>716</v>
      </c>
      <c r="E223" s="92" t="s">
        <v>1048</v>
      </c>
      <c r="F223" s="92" t="s">
        <v>747</v>
      </c>
      <c r="G223" s="92"/>
      <c r="H223" s="92">
        <v>7</v>
      </c>
      <c r="I223" s="92">
        <v>0</v>
      </c>
      <c r="J223" s="92">
        <v>223</v>
      </c>
      <c r="K223" s="93">
        <v>65849</v>
      </c>
      <c r="L223" s="93">
        <f t="shared" si="3"/>
        <v>14684327</v>
      </c>
      <c r="M223" s="92" t="s">
        <v>692</v>
      </c>
      <c r="N223" s="92" t="s">
        <v>708</v>
      </c>
      <c r="O223" s="95" t="s">
        <v>694</v>
      </c>
    </row>
    <row r="224" spans="1:15" ht="15" customHeight="1" x14ac:dyDescent="0.25">
      <c r="A224" s="91" t="s">
        <v>1263</v>
      </c>
      <c r="B224" s="92" t="s">
        <v>710</v>
      </c>
      <c r="C224" s="92" t="s">
        <v>96</v>
      </c>
      <c r="D224" s="92" t="s">
        <v>716</v>
      </c>
      <c r="E224" s="92" t="s">
        <v>1034</v>
      </c>
      <c r="F224" s="92" t="s">
        <v>805</v>
      </c>
      <c r="G224" s="92"/>
      <c r="H224" s="92">
        <v>21</v>
      </c>
      <c r="I224" s="92">
        <v>0</v>
      </c>
      <c r="J224" s="92">
        <v>98</v>
      </c>
      <c r="K224" s="93">
        <v>80441</v>
      </c>
      <c r="L224" s="93">
        <f t="shared" si="3"/>
        <v>7883218</v>
      </c>
      <c r="M224" s="92" t="s">
        <v>692</v>
      </c>
      <c r="N224" s="92" t="s">
        <v>701</v>
      </c>
      <c r="O224" s="95" t="s">
        <v>694</v>
      </c>
    </row>
    <row r="225" spans="1:15" ht="15" customHeight="1" x14ac:dyDescent="0.25">
      <c r="A225" s="91" t="s">
        <v>1264</v>
      </c>
      <c r="B225" s="92" t="s">
        <v>703</v>
      </c>
      <c r="C225" s="92" t="s">
        <v>704</v>
      </c>
      <c r="D225" s="92" t="s">
        <v>697</v>
      </c>
      <c r="E225" s="92" t="s">
        <v>691</v>
      </c>
      <c r="F225" s="92" t="s">
        <v>942</v>
      </c>
      <c r="G225" s="92" t="s">
        <v>942</v>
      </c>
      <c r="H225" s="92">
        <v>31</v>
      </c>
      <c r="I225" s="92">
        <v>0</v>
      </c>
      <c r="J225" s="92">
        <v>111</v>
      </c>
      <c r="K225" s="93">
        <v>84595</v>
      </c>
      <c r="L225" s="93">
        <f t="shared" si="3"/>
        <v>9390045</v>
      </c>
      <c r="M225" s="94" t="s">
        <v>727</v>
      </c>
      <c r="N225" s="92" t="s">
        <v>701</v>
      </c>
      <c r="O225" s="96" t="s">
        <v>728</v>
      </c>
    </row>
    <row r="226" spans="1:15" ht="15" customHeight="1" x14ac:dyDescent="0.25">
      <c r="A226" s="91" t="s">
        <v>1265</v>
      </c>
      <c r="B226" s="92" t="s">
        <v>753</v>
      </c>
      <c r="C226" s="92" t="s">
        <v>51</v>
      </c>
      <c r="D226" s="92" t="s">
        <v>787</v>
      </c>
      <c r="E226" s="92" t="s">
        <v>944</v>
      </c>
      <c r="F226" s="92" t="s">
        <v>1072</v>
      </c>
      <c r="G226" s="92" t="s">
        <v>1072</v>
      </c>
      <c r="H226" s="92">
        <v>18</v>
      </c>
      <c r="I226" s="92">
        <v>0</v>
      </c>
      <c r="J226" s="92">
        <v>500</v>
      </c>
      <c r="K226" s="93">
        <v>22622</v>
      </c>
      <c r="L226" s="93">
        <f t="shared" si="3"/>
        <v>11311000</v>
      </c>
      <c r="M226" s="94" t="s">
        <v>727</v>
      </c>
      <c r="N226" s="92" t="s">
        <v>693</v>
      </c>
      <c r="O226" s="96" t="s">
        <v>728</v>
      </c>
    </row>
    <row r="227" spans="1:15" ht="15" customHeight="1" x14ac:dyDescent="0.25">
      <c r="A227" s="91" t="s">
        <v>1266</v>
      </c>
      <c r="B227" s="92" t="s">
        <v>710</v>
      </c>
      <c r="C227" s="92" t="s">
        <v>96</v>
      </c>
      <c r="D227" s="92" t="s">
        <v>689</v>
      </c>
      <c r="E227" s="92" t="s">
        <v>970</v>
      </c>
      <c r="F227" s="92" t="s">
        <v>1019</v>
      </c>
      <c r="G227" s="92" t="s">
        <v>1019</v>
      </c>
      <c r="H227" s="92">
        <v>30</v>
      </c>
      <c r="I227" s="92">
        <v>0</v>
      </c>
      <c r="J227" s="92">
        <v>6</v>
      </c>
      <c r="K227" s="93">
        <v>40120</v>
      </c>
      <c r="L227" s="93">
        <f t="shared" si="3"/>
        <v>240720</v>
      </c>
      <c r="M227" s="94" t="s">
        <v>727</v>
      </c>
      <c r="N227" s="92" t="s">
        <v>701</v>
      </c>
      <c r="O227" s="96" t="s">
        <v>728</v>
      </c>
    </row>
    <row r="228" spans="1:15" ht="15" customHeight="1" x14ac:dyDescent="0.25">
      <c r="A228" s="91" t="s">
        <v>1267</v>
      </c>
      <c r="B228" s="92" t="s">
        <v>739</v>
      </c>
      <c r="C228" s="92" t="s">
        <v>51</v>
      </c>
      <c r="D228" s="92" t="s">
        <v>689</v>
      </c>
      <c r="E228" s="92" t="s">
        <v>1268</v>
      </c>
      <c r="F228" s="92" t="s">
        <v>901</v>
      </c>
      <c r="G228" s="92"/>
      <c r="H228" s="92">
        <v>31</v>
      </c>
      <c r="I228" s="92">
        <v>0</v>
      </c>
      <c r="J228" s="92">
        <v>377</v>
      </c>
      <c r="K228" s="93">
        <v>50963</v>
      </c>
      <c r="L228" s="93">
        <f t="shared" si="3"/>
        <v>19213051</v>
      </c>
      <c r="M228" s="92" t="s">
        <v>692</v>
      </c>
      <c r="N228" s="92" t="s">
        <v>714</v>
      </c>
      <c r="O228" s="95" t="s">
        <v>694</v>
      </c>
    </row>
    <row r="229" spans="1:15" ht="15" customHeight="1" x14ac:dyDescent="0.25">
      <c r="A229" s="91" t="s">
        <v>1269</v>
      </c>
      <c r="B229" s="92" t="s">
        <v>696</v>
      </c>
      <c r="C229" s="92" t="s">
        <v>96</v>
      </c>
      <c r="D229" s="92" t="s">
        <v>731</v>
      </c>
      <c r="E229" s="92" t="s">
        <v>907</v>
      </c>
      <c r="F229" s="92" t="s">
        <v>973</v>
      </c>
      <c r="G229" s="92" t="s">
        <v>973</v>
      </c>
      <c r="H229" s="92">
        <v>10</v>
      </c>
      <c r="I229" s="92">
        <v>0</v>
      </c>
      <c r="J229" s="92">
        <v>182</v>
      </c>
      <c r="K229" s="93">
        <v>84724</v>
      </c>
      <c r="L229" s="93">
        <f t="shared" si="3"/>
        <v>15419768</v>
      </c>
      <c r="M229" s="94" t="s">
        <v>727</v>
      </c>
      <c r="N229" s="92" t="s">
        <v>693</v>
      </c>
      <c r="O229" s="96" t="s">
        <v>728</v>
      </c>
    </row>
    <row r="230" spans="1:15" ht="15" customHeight="1" x14ac:dyDescent="0.25">
      <c r="A230" s="91" t="s">
        <v>1270</v>
      </c>
      <c r="B230" s="92" t="s">
        <v>735</v>
      </c>
      <c r="C230" s="92" t="s">
        <v>51</v>
      </c>
      <c r="D230" s="92" t="s">
        <v>731</v>
      </c>
      <c r="E230" s="92" t="s">
        <v>1271</v>
      </c>
      <c r="F230" s="92" t="s">
        <v>806</v>
      </c>
      <c r="G230" s="92" t="s">
        <v>806</v>
      </c>
      <c r="H230" s="92">
        <v>23</v>
      </c>
      <c r="I230" s="92">
        <v>0</v>
      </c>
      <c r="J230" s="92">
        <v>203</v>
      </c>
      <c r="K230" s="93">
        <v>57222</v>
      </c>
      <c r="L230" s="93">
        <f t="shared" si="3"/>
        <v>11616066</v>
      </c>
      <c r="M230" s="94" t="s">
        <v>727</v>
      </c>
      <c r="N230" s="92" t="s">
        <v>742</v>
      </c>
      <c r="O230" s="96" t="s">
        <v>728</v>
      </c>
    </row>
    <row r="231" spans="1:15" ht="15" customHeight="1" x14ac:dyDescent="0.25">
      <c r="A231" s="91" t="s">
        <v>1272</v>
      </c>
      <c r="B231" s="92" t="s">
        <v>688</v>
      </c>
      <c r="C231" s="92" t="s">
        <v>68</v>
      </c>
      <c r="D231" s="92" t="s">
        <v>731</v>
      </c>
      <c r="E231" s="92" t="s">
        <v>1022</v>
      </c>
      <c r="F231" s="92" t="s">
        <v>1273</v>
      </c>
      <c r="G231" s="92" t="s">
        <v>1273</v>
      </c>
      <c r="H231" s="92">
        <v>44</v>
      </c>
      <c r="I231" s="92">
        <v>0</v>
      </c>
      <c r="J231" s="92">
        <v>477</v>
      </c>
      <c r="K231" s="93">
        <v>29160</v>
      </c>
      <c r="L231" s="93">
        <f t="shared" si="3"/>
        <v>13909320</v>
      </c>
      <c r="M231" s="94" t="s">
        <v>727</v>
      </c>
      <c r="N231" s="92" t="s">
        <v>708</v>
      </c>
      <c r="O231" s="96" t="s">
        <v>728</v>
      </c>
    </row>
    <row r="232" spans="1:15" ht="15" customHeight="1" x14ac:dyDescent="0.25">
      <c r="A232" s="91" t="s">
        <v>1274</v>
      </c>
      <c r="B232" s="92" t="s">
        <v>780</v>
      </c>
      <c r="C232" s="92" t="s">
        <v>86</v>
      </c>
      <c r="D232" s="92" t="s">
        <v>716</v>
      </c>
      <c r="E232" s="92" t="s">
        <v>1275</v>
      </c>
      <c r="F232" s="92" t="s">
        <v>1276</v>
      </c>
      <c r="G232" s="92"/>
      <c r="H232" s="92">
        <v>27</v>
      </c>
      <c r="I232" s="92">
        <v>0</v>
      </c>
      <c r="J232" s="92">
        <v>222</v>
      </c>
      <c r="K232" s="93">
        <v>12482</v>
      </c>
      <c r="L232" s="93">
        <f t="shared" si="3"/>
        <v>2771004</v>
      </c>
      <c r="M232" s="92" t="s">
        <v>692</v>
      </c>
      <c r="N232" s="92" t="s">
        <v>714</v>
      </c>
      <c r="O232" s="95" t="s">
        <v>694</v>
      </c>
    </row>
    <row r="233" spans="1:15" ht="15" customHeight="1" x14ac:dyDescent="0.25">
      <c r="A233" s="91" t="s">
        <v>1277</v>
      </c>
      <c r="B233" s="92" t="s">
        <v>720</v>
      </c>
      <c r="C233" s="92" t="s">
        <v>103</v>
      </c>
      <c r="D233" s="92" t="s">
        <v>731</v>
      </c>
      <c r="E233" s="92" t="s">
        <v>762</v>
      </c>
      <c r="F233" s="92" t="s">
        <v>1239</v>
      </c>
      <c r="G233" s="92" t="s">
        <v>1239</v>
      </c>
      <c r="H233" s="92">
        <v>15</v>
      </c>
      <c r="I233" s="92">
        <v>0</v>
      </c>
      <c r="J233" s="92">
        <v>185</v>
      </c>
      <c r="K233" s="93">
        <v>78767</v>
      </c>
      <c r="L233" s="93">
        <f t="shared" si="3"/>
        <v>14571895</v>
      </c>
      <c r="M233" s="94" t="s">
        <v>727</v>
      </c>
      <c r="N233" s="92" t="s">
        <v>701</v>
      </c>
      <c r="O233" s="96" t="s">
        <v>728</v>
      </c>
    </row>
    <row r="234" spans="1:15" ht="15" customHeight="1" x14ac:dyDescent="0.25">
      <c r="A234" s="91" t="s">
        <v>1278</v>
      </c>
      <c r="B234" s="92" t="s">
        <v>703</v>
      </c>
      <c r="C234" s="92" t="s">
        <v>704</v>
      </c>
      <c r="D234" s="92" t="s">
        <v>724</v>
      </c>
      <c r="E234" s="92" t="s">
        <v>1279</v>
      </c>
      <c r="F234" s="92" t="s">
        <v>864</v>
      </c>
      <c r="G234" s="92" t="s">
        <v>864</v>
      </c>
      <c r="H234" s="92">
        <v>40</v>
      </c>
      <c r="I234" s="92">
        <v>0</v>
      </c>
      <c r="J234" s="92">
        <v>252</v>
      </c>
      <c r="K234" s="93">
        <v>65031</v>
      </c>
      <c r="L234" s="93">
        <f t="shared" si="3"/>
        <v>16387812</v>
      </c>
      <c r="M234" s="94" t="s">
        <v>727</v>
      </c>
      <c r="N234" s="92" t="s">
        <v>742</v>
      </c>
      <c r="O234" s="96" t="s">
        <v>728</v>
      </c>
    </row>
    <row r="235" spans="1:15" ht="15" customHeight="1" x14ac:dyDescent="0.25">
      <c r="A235" s="91" t="s">
        <v>1280</v>
      </c>
      <c r="B235" s="92" t="s">
        <v>688</v>
      </c>
      <c r="C235" s="92" t="s">
        <v>68</v>
      </c>
      <c r="D235" s="92" t="s">
        <v>697</v>
      </c>
      <c r="E235" s="92" t="s">
        <v>1281</v>
      </c>
      <c r="F235" s="92" t="s">
        <v>1198</v>
      </c>
      <c r="G235" s="92" t="s">
        <v>1198</v>
      </c>
      <c r="H235" s="92">
        <v>10</v>
      </c>
      <c r="I235" s="92">
        <v>0</v>
      </c>
      <c r="J235" s="92">
        <v>19</v>
      </c>
      <c r="K235" s="93">
        <v>40236</v>
      </c>
      <c r="L235" s="93">
        <f t="shared" si="3"/>
        <v>764484</v>
      </c>
      <c r="M235" s="94" t="s">
        <v>727</v>
      </c>
      <c r="N235" s="92" t="s">
        <v>742</v>
      </c>
      <c r="O235" s="96" t="s">
        <v>728</v>
      </c>
    </row>
    <row r="236" spans="1:15" ht="15" customHeight="1" x14ac:dyDescent="0.25">
      <c r="A236" s="91" t="s">
        <v>1282</v>
      </c>
      <c r="B236" s="92" t="s">
        <v>710</v>
      </c>
      <c r="C236" s="92" t="s">
        <v>96</v>
      </c>
      <c r="D236" s="92" t="s">
        <v>787</v>
      </c>
      <c r="E236" s="92" t="s">
        <v>1283</v>
      </c>
      <c r="F236" s="92" t="s">
        <v>1284</v>
      </c>
      <c r="G236" s="92"/>
      <c r="H236" s="92">
        <v>14</v>
      </c>
      <c r="I236" s="92">
        <v>18</v>
      </c>
      <c r="J236" s="92">
        <v>21</v>
      </c>
      <c r="K236" s="93">
        <v>37808</v>
      </c>
      <c r="L236" s="93">
        <f t="shared" si="3"/>
        <v>793968</v>
      </c>
      <c r="M236" s="94" t="s">
        <v>700</v>
      </c>
      <c r="N236" s="92" t="s">
        <v>693</v>
      </c>
      <c r="O236" s="95" t="s">
        <v>694</v>
      </c>
    </row>
    <row r="237" spans="1:15" ht="15" customHeight="1" x14ac:dyDescent="0.25">
      <c r="A237" s="91" t="s">
        <v>1285</v>
      </c>
      <c r="B237" s="92" t="s">
        <v>710</v>
      </c>
      <c r="C237" s="92" t="s">
        <v>96</v>
      </c>
      <c r="D237" s="92" t="s">
        <v>697</v>
      </c>
      <c r="E237" s="92" t="s">
        <v>1286</v>
      </c>
      <c r="F237" s="92" t="s">
        <v>885</v>
      </c>
      <c r="G237" s="92" t="s">
        <v>885</v>
      </c>
      <c r="H237" s="92">
        <v>38</v>
      </c>
      <c r="I237" s="92">
        <v>0</v>
      </c>
      <c r="J237" s="92">
        <v>64</v>
      </c>
      <c r="K237" s="93">
        <v>30042</v>
      </c>
      <c r="L237" s="93">
        <f t="shared" si="3"/>
        <v>1922688</v>
      </c>
      <c r="M237" s="94" t="s">
        <v>727</v>
      </c>
      <c r="N237" s="92" t="s">
        <v>742</v>
      </c>
      <c r="O237" s="96" t="s">
        <v>728</v>
      </c>
    </row>
    <row r="238" spans="1:15" ht="15" customHeight="1" x14ac:dyDescent="0.25">
      <c r="A238" s="91" t="s">
        <v>1287</v>
      </c>
      <c r="B238" s="92" t="s">
        <v>703</v>
      </c>
      <c r="C238" s="92" t="s">
        <v>704</v>
      </c>
      <c r="D238" s="92" t="s">
        <v>711</v>
      </c>
      <c r="E238" s="92" t="s">
        <v>1288</v>
      </c>
      <c r="F238" s="92" t="s">
        <v>1289</v>
      </c>
      <c r="G238" s="92"/>
      <c r="H238" s="92">
        <v>17</v>
      </c>
      <c r="I238" s="92">
        <v>0</v>
      </c>
      <c r="J238" s="92">
        <v>422</v>
      </c>
      <c r="K238" s="93">
        <v>23551</v>
      </c>
      <c r="L238" s="93">
        <f t="shared" si="3"/>
        <v>9938522</v>
      </c>
      <c r="M238" s="92" t="s">
        <v>692</v>
      </c>
      <c r="N238" s="92" t="s">
        <v>693</v>
      </c>
      <c r="O238" s="95" t="s">
        <v>694</v>
      </c>
    </row>
    <row r="239" spans="1:15" ht="15" customHeight="1" x14ac:dyDescent="0.25">
      <c r="A239" s="91" t="s">
        <v>1290</v>
      </c>
      <c r="B239" s="92" t="s">
        <v>753</v>
      </c>
      <c r="C239" s="92" t="s">
        <v>51</v>
      </c>
      <c r="D239" s="92" t="s">
        <v>731</v>
      </c>
      <c r="E239" s="92" t="s">
        <v>985</v>
      </c>
      <c r="F239" s="92" t="s">
        <v>896</v>
      </c>
      <c r="G239" s="92"/>
      <c r="H239" s="92">
        <v>40</v>
      </c>
      <c r="I239" s="92">
        <v>0</v>
      </c>
      <c r="J239" s="92">
        <v>93</v>
      </c>
      <c r="K239" s="93">
        <v>35687</v>
      </c>
      <c r="L239" s="93">
        <f t="shared" si="3"/>
        <v>3318891</v>
      </c>
      <c r="M239" s="92" t="s">
        <v>692</v>
      </c>
      <c r="N239" s="92" t="s">
        <v>714</v>
      </c>
      <c r="O239" s="95" t="s">
        <v>694</v>
      </c>
    </row>
    <row r="240" spans="1:15" ht="15" customHeight="1" x14ac:dyDescent="0.25">
      <c r="A240" s="91" t="s">
        <v>1291</v>
      </c>
      <c r="B240" s="92" t="s">
        <v>753</v>
      </c>
      <c r="C240" s="92" t="s">
        <v>51</v>
      </c>
      <c r="D240" s="92" t="s">
        <v>697</v>
      </c>
      <c r="E240" s="92" t="s">
        <v>356</v>
      </c>
      <c r="F240" s="92" t="s">
        <v>1226</v>
      </c>
      <c r="G240" s="92"/>
      <c r="H240" s="92">
        <v>13</v>
      </c>
      <c r="I240" s="92">
        <v>0</v>
      </c>
      <c r="J240" s="92">
        <v>14</v>
      </c>
      <c r="K240" s="93">
        <v>24522</v>
      </c>
      <c r="L240" s="93">
        <f t="shared" si="3"/>
        <v>343308</v>
      </c>
      <c r="M240" s="94" t="s">
        <v>759</v>
      </c>
      <c r="N240" s="92" t="s">
        <v>714</v>
      </c>
      <c r="O240" s="95" t="s">
        <v>694</v>
      </c>
    </row>
    <row r="241" spans="1:15" ht="15" customHeight="1" x14ac:dyDescent="0.25">
      <c r="A241" s="91" t="s">
        <v>1292</v>
      </c>
      <c r="B241" s="92" t="s">
        <v>739</v>
      </c>
      <c r="C241" s="92" t="s">
        <v>51</v>
      </c>
      <c r="D241" s="92" t="s">
        <v>705</v>
      </c>
      <c r="E241" s="92" t="s">
        <v>1293</v>
      </c>
      <c r="F241" s="92" t="s">
        <v>1294</v>
      </c>
      <c r="G241" s="92"/>
      <c r="H241" s="92">
        <v>44</v>
      </c>
      <c r="I241" s="92">
        <v>6</v>
      </c>
      <c r="J241" s="92">
        <v>429</v>
      </c>
      <c r="K241" s="93">
        <v>27839</v>
      </c>
      <c r="L241" s="93">
        <f t="shared" si="3"/>
        <v>11942931</v>
      </c>
      <c r="M241" s="94" t="s">
        <v>700</v>
      </c>
      <c r="N241" s="92" t="s">
        <v>714</v>
      </c>
      <c r="O241" s="95" t="s">
        <v>694</v>
      </c>
    </row>
    <row r="242" spans="1:15" ht="15" customHeight="1" x14ac:dyDescent="0.25">
      <c r="A242" s="91" t="s">
        <v>1295</v>
      </c>
      <c r="B242" s="92" t="s">
        <v>696</v>
      </c>
      <c r="C242" s="92" t="s">
        <v>96</v>
      </c>
      <c r="D242" s="92" t="s">
        <v>697</v>
      </c>
      <c r="E242" s="92" t="s">
        <v>1202</v>
      </c>
      <c r="F242" s="92" t="s">
        <v>997</v>
      </c>
      <c r="G242" s="92" t="s">
        <v>997</v>
      </c>
      <c r="H242" s="92">
        <v>37</v>
      </c>
      <c r="I242" s="92">
        <v>0</v>
      </c>
      <c r="J242" s="92">
        <v>3</v>
      </c>
      <c r="K242" s="93">
        <v>28337</v>
      </c>
      <c r="L242" s="93">
        <f t="shared" si="3"/>
        <v>85011</v>
      </c>
      <c r="M242" s="94" t="s">
        <v>727</v>
      </c>
      <c r="N242" s="92" t="s">
        <v>714</v>
      </c>
      <c r="O242" s="96" t="s">
        <v>728</v>
      </c>
    </row>
    <row r="243" spans="1:15" ht="15" customHeight="1" x14ac:dyDescent="0.25">
      <c r="A243" s="91" t="s">
        <v>1296</v>
      </c>
      <c r="B243" s="92" t="s">
        <v>730</v>
      </c>
      <c r="C243" s="92" t="s">
        <v>131</v>
      </c>
      <c r="D243" s="92" t="s">
        <v>697</v>
      </c>
      <c r="E243" s="92" t="s">
        <v>1297</v>
      </c>
      <c r="F243" s="92" t="s">
        <v>955</v>
      </c>
      <c r="G243" s="92"/>
      <c r="H243" s="92">
        <v>27</v>
      </c>
      <c r="I243" s="92">
        <v>21</v>
      </c>
      <c r="J243" s="92">
        <v>67</v>
      </c>
      <c r="K243" s="93">
        <v>18360</v>
      </c>
      <c r="L243" s="93">
        <f t="shared" si="3"/>
        <v>1230120</v>
      </c>
      <c r="M243" s="94" t="s">
        <v>700</v>
      </c>
      <c r="N243" s="92" t="s">
        <v>714</v>
      </c>
      <c r="O243" s="95" t="s">
        <v>694</v>
      </c>
    </row>
    <row r="244" spans="1:15" ht="15" customHeight="1" x14ac:dyDescent="0.25">
      <c r="A244" s="91" t="s">
        <v>1298</v>
      </c>
      <c r="B244" s="92" t="s">
        <v>703</v>
      </c>
      <c r="C244" s="92" t="s">
        <v>704</v>
      </c>
      <c r="D244" s="92" t="s">
        <v>705</v>
      </c>
      <c r="E244" s="92" t="s">
        <v>1299</v>
      </c>
      <c r="F244" s="92" t="s">
        <v>1300</v>
      </c>
      <c r="G244" s="92"/>
      <c r="H244" s="92">
        <v>10</v>
      </c>
      <c r="I244" s="92">
        <v>0</v>
      </c>
      <c r="J244" s="92">
        <v>281</v>
      </c>
      <c r="K244" s="93">
        <v>80936</v>
      </c>
      <c r="L244" s="93">
        <f t="shared" si="3"/>
        <v>22743016</v>
      </c>
      <c r="M244" s="92" t="s">
        <v>692</v>
      </c>
      <c r="N244" s="92" t="s">
        <v>708</v>
      </c>
      <c r="O244" s="95" t="s">
        <v>694</v>
      </c>
    </row>
    <row r="245" spans="1:15" ht="15" customHeight="1" x14ac:dyDescent="0.25">
      <c r="A245" s="91" t="s">
        <v>1301</v>
      </c>
      <c r="B245" s="92" t="s">
        <v>696</v>
      </c>
      <c r="C245" s="92" t="s">
        <v>96</v>
      </c>
      <c r="D245" s="92" t="s">
        <v>787</v>
      </c>
      <c r="E245" s="92" t="s">
        <v>1235</v>
      </c>
      <c r="F245" s="92" t="s">
        <v>1302</v>
      </c>
      <c r="G245" s="92" t="s">
        <v>1302</v>
      </c>
      <c r="H245" s="92">
        <v>23</v>
      </c>
      <c r="I245" s="92">
        <v>0</v>
      </c>
      <c r="J245" s="92">
        <v>46</v>
      </c>
      <c r="K245" s="93">
        <v>2233</v>
      </c>
      <c r="L245" s="93">
        <f t="shared" si="3"/>
        <v>102718</v>
      </c>
      <c r="M245" s="94" t="s">
        <v>727</v>
      </c>
      <c r="N245" s="92" t="s">
        <v>742</v>
      </c>
      <c r="O245" s="96" t="s">
        <v>728</v>
      </c>
    </row>
    <row r="246" spans="1:15" ht="15" customHeight="1" x14ac:dyDescent="0.25">
      <c r="A246" s="91" t="s">
        <v>1303</v>
      </c>
      <c r="B246" s="92" t="s">
        <v>780</v>
      </c>
      <c r="C246" s="92" t="s">
        <v>86</v>
      </c>
      <c r="D246" s="92" t="s">
        <v>787</v>
      </c>
      <c r="E246" s="92" t="s">
        <v>1304</v>
      </c>
      <c r="F246" s="92" t="s">
        <v>712</v>
      </c>
      <c r="G246" s="92" t="s">
        <v>1305</v>
      </c>
      <c r="H246" s="92">
        <v>32</v>
      </c>
      <c r="I246" s="92">
        <v>13</v>
      </c>
      <c r="J246" s="92">
        <v>79</v>
      </c>
      <c r="K246" s="93">
        <v>10691</v>
      </c>
      <c r="L246" s="93">
        <f t="shared" si="3"/>
        <v>844589</v>
      </c>
      <c r="M246" s="94" t="s">
        <v>727</v>
      </c>
      <c r="N246" s="92" t="s">
        <v>708</v>
      </c>
      <c r="O246" s="96" t="s">
        <v>778</v>
      </c>
    </row>
    <row r="247" spans="1:15" ht="15" customHeight="1" x14ac:dyDescent="0.25">
      <c r="A247" s="91" t="s">
        <v>1306</v>
      </c>
      <c r="B247" s="92" t="s">
        <v>739</v>
      </c>
      <c r="C247" s="92" t="s">
        <v>51</v>
      </c>
      <c r="D247" s="92" t="s">
        <v>724</v>
      </c>
      <c r="E247" s="92" t="s">
        <v>1222</v>
      </c>
      <c r="F247" s="92" t="s">
        <v>1307</v>
      </c>
      <c r="G247" s="92" t="s">
        <v>1307</v>
      </c>
      <c r="H247" s="92">
        <v>45</v>
      </c>
      <c r="I247" s="92">
        <v>0</v>
      </c>
      <c r="J247" s="92">
        <v>189</v>
      </c>
      <c r="K247" s="93">
        <v>43819</v>
      </c>
      <c r="L247" s="93">
        <f t="shared" si="3"/>
        <v>8281791</v>
      </c>
      <c r="M247" s="94" t="s">
        <v>727</v>
      </c>
      <c r="N247" s="92" t="s">
        <v>708</v>
      </c>
      <c r="O247" s="96" t="s">
        <v>728</v>
      </c>
    </row>
    <row r="248" spans="1:15" ht="15" customHeight="1" x14ac:dyDescent="0.25">
      <c r="A248" s="91" t="s">
        <v>1308</v>
      </c>
      <c r="B248" s="92" t="s">
        <v>710</v>
      </c>
      <c r="C248" s="92" t="s">
        <v>96</v>
      </c>
      <c r="D248" s="92" t="s">
        <v>787</v>
      </c>
      <c r="E248" s="92" t="s">
        <v>834</v>
      </c>
      <c r="F248" s="92" t="s">
        <v>1309</v>
      </c>
      <c r="G248" s="92" t="s">
        <v>1309</v>
      </c>
      <c r="H248" s="92">
        <v>37</v>
      </c>
      <c r="I248" s="92">
        <v>0</v>
      </c>
      <c r="J248" s="92">
        <v>388</v>
      </c>
      <c r="K248" s="93">
        <v>36204</v>
      </c>
      <c r="L248" s="93">
        <f t="shared" si="3"/>
        <v>14047152</v>
      </c>
      <c r="M248" s="94" t="s">
        <v>727</v>
      </c>
      <c r="N248" s="92" t="s">
        <v>701</v>
      </c>
      <c r="O248" s="96" t="s">
        <v>728</v>
      </c>
    </row>
    <row r="249" spans="1:15" ht="15" customHeight="1" x14ac:dyDescent="0.25">
      <c r="A249" s="91" t="s">
        <v>1310</v>
      </c>
      <c r="B249" s="92" t="s">
        <v>730</v>
      </c>
      <c r="C249" s="92" t="s">
        <v>131</v>
      </c>
      <c r="D249" s="92" t="s">
        <v>711</v>
      </c>
      <c r="E249" s="92" t="s">
        <v>1311</v>
      </c>
      <c r="F249" s="92" t="s">
        <v>1312</v>
      </c>
      <c r="G249" s="92"/>
      <c r="H249" s="92">
        <v>34</v>
      </c>
      <c r="I249" s="92">
        <v>0</v>
      </c>
      <c r="J249" s="92">
        <v>48</v>
      </c>
      <c r="K249" s="93">
        <v>3917</v>
      </c>
      <c r="L249" s="93">
        <f t="shared" si="3"/>
        <v>188016</v>
      </c>
      <c r="M249" s="92" t="s">
        <v>692</v>
      </c>
      <c r="N249" s="92" t="s">
        <v>701</v>
      </c>
      <c r="O249" s="95" t="s">
        <v>694</v>
      </c>
    </row>
    <row r="250" spans="1:15" ht="15" customHeight="1" x14ac:dyDescent="0.25">
      <c r="A250" s="91" t="s">
        <v>1313</v>
      </c>
      <c r="B250" s="92" t="s">
        <v>710</v>
      </c>
      <c r="C250" s="92" t="s">
        <v>96</v>
      </c>
      <c r="D250" s="92" t="s">
        <v>689</v>
      </c>
      <c r="E250" s="92" t="s">
        <v>352</v>
      </c>
      <c r="F250" s="92" t="s">
        <v>1314</v>
      </c>
      <c r="G250" s="92"/>
      <c r="H250" s="92">
        <v>16</v>
      </c>
      <c r="I250" s="92">
        <v>19</v>
      </c>
      <c r="J250" s="92">
        <v>323</v>
      </c>
      <c r="K250" s="93">
        <v>55191</v>
      </c>
      <c r="L250" s="93">
        <f t="shared" si="3"/>
        <v>17826693</v>
      </c>
      <c r="M250" s="94" t="s">
        <v>700</v>
      </c>
      <c r="N250" s="92" t="s">
        <v>714</v>
      </c>
      <c r="O250" s="95" t="s">
        <v>694</v>
      </c>
    </row>
    <row r="251" spans="1:15" ht="15" customHeight="1" x14ac:dyDescent="0.25">
      <c r="A251" s="91" t="s">
        <v>1315</v>
      </c>
      <c r="B251" s="92" t="s">
        <v>703</v>
      </c>
      <c r="C251" s="92" t="s">
        <v>704</v>
      </c>
      <c r="D251" s="92" t="s">
        <v>697</v>
      </c>
      <c r="E251" s="92" t="s">
        <v>1300</v>
      </c>
      <c r="F251" s="92" t="s">
        <v>1316</v>
      </c>
      <c r="G251" s="92" t="s">
        <v>1316</v>
      </c>
      <c r="H251" s="92">
        <v>34</v>
      </c>
      <c r="I251" s="92">
        <v>0</v>
      </c>
      <c r="J251" s="92">
        <v>77</v>
      </c>
      <c r="K251" s="93">
        <v>83664</v>
      </c>
      <c r="L251" s="93">
        <f t="shared" si="3"/>
        <v>6442128</v>
      </c>
      <c r="M251" s="94" t="s">
        <v>727</v>
      </c>
      <c r="N251" s="92" t="s">
        <v>701</v>
      </c>
      <c r="O251" s="96" t="s">
        <v>728</v>
      </c>
    </row>
    <row r="252" spans="1:15" ht="15" customHeight="1" x14ac:dyDescent="0.25">
      <c r="A252" s="91" t="s">
        <v>1317</v>
      </c>
      <c r="B252" s="92" t="s">
        <v>753</v>
      </c>
      <c r="C252" s="92" t="s">
        <v>51</v>
      </c>
      <c r="D252" s="92" t="s">
        <v>787</v>
      </c>
      <c r="E252" s="92" t="s">
        <v>1096</v>
      </c>
      <c r="F252" s="92" t="s">
        <v>1318</v>
      </c>
      <c r="G252" s="92" t="s">
        <v>1318</v>
      </c>
      <c r="H252" s="92">
        <v>25</v>
      </c>
      <c r="I252" s="92">
        <v>0</v>
      </c>
      <c r="J252" s="92">
        <v>24</v>
      </c>
      <c r="K252" s="93">
        <v>43884</v>
      </c>
      <c r="L252" s="93">
        <f t="shared" si="3"/>
        <v>1053216</v>
      </c>
      <c r="M252" s="94" t="s">
        <v>727</v>
      </c>
      <c r="N252" s="92" t="s">
        <v>693</v>
      </c>
      <c r="O252" s="96" t="s">
        <v>728</v>
      </c>
    </row>
    <row r="253" spans="1:15" ht="15" customHeight="1" x14ac:dyDescent="0.25">
      <c r="A253" s="91" t="s">
        <v>1319</v>
      </c>
      <c r="B253" s="92" t="s">
        <v>739</v>
      </c>
      <c r="C253" s="92" t="s">
        <v>51</v>
      </c>
      <c r="D253" s="92" t="s">
        <v>787</v>
      </c>
      <c r="E253" s="92" t="s">
        <v>1320</v>
      </c>
      <c r="F253" s="92" t="s">
        <v>1321</v>
      </c>
      <c r="G253" s="92" t="s">
        <v>1321</v>
      </c>
      <c r="H253" s="92">
        <v>13</v>
      </c>
      <c r="I253" s="92">
        <v>0</v>
      </c>
      <c r="J253" s="92">
        <v>130</v>
      </c>
      <c r="K253" s="93">
        <v>30536</v>
      </c>
      <c r="L253" s="93">
        <f t="shared" si="3"/>
        <v>3969680</v>
      </c>
      <c r="M253" s="94" t="s">
        <v>727</v>
      </c>
      <c r="N253" s="92" t="s">
        <v>693</v>
      </c>
      <c r="O253" s="96" t="s">
        <v>728</v>
      </c>
    </row>
    <row r="254" spans="1:15" ht="15" customHeight="1" x14ac:dyDescent="0.25">
      <c r="A254" s="91" t="s">
        <v>1322</v>
      </c>
      <c r="B254" s="92" t="s">
        <v>696</v>
      </c>
      <c r="C254" s="92" t="s">
        <v>96</v>
      </c>
      <c r="D254" s="92" t="s">
        <v>731</v>
      </c>
      <c r="E254" s="92" t="s">
        <v>1022</v>
      </c>
      <c r="F254" s="92" t="s">
        <v>878</v>
      </c>
      <c r="G254" s="92"/>
      <c r="H254" s="92">
        <v>14</v>
      </c>
      <c r="I254" s="92">
        <v>0</v>
      </c>
      <c r="J254" s="92">
        <v>237</v>
      </c>
      <c r="K254" s="93">
        <v>15672</v>
      </c>
      <c r="L254" s="93">
        <f t="shared" si="3"/>
        <v>3714264</v>
      </c>
      <c r="M254" s="92" t="s">
        <v>692</v>
      </c>
      <c r="N254" s="92" t="s">
        <v>742</v>
      </c>
      <c r="O254" s="95" t="s">
        <v>694</v>
      </c>
    </row>
    <row r="255" spans="1:15" ht="15" customHeight="1" x14ac:dyDescent="0.25">
      <c r="A255" s="91" t="s">
        <v>1323</v>
      </c>
      <c r="B255" s="92" t="s">
        <v>739</v>
      </c>
      <c r="C255" s="92" t="s">
        <v>51</v>
      </c>
      <c r="D255" s="92" t="s">
        <v>731</v>
      </c>
      <c r="E255" s="92" t="s">
        <v>1324</v>
      </c>
      <c r="F255" s="92" t="s">
        <v>822</v>
      </c>
      <c r="G255" s="92" t="s">
        <v>822</v>
      </c>
      <c r="H255" s="92">
        <v>12</v>
      </c>
      <c r="I255" s="92">
        <v>0</v>
      </c>
      <c r="J255" s="92">
        <v>301</v>
      </c>
      <c r="K255" s="93">
        <v>61686</v>
      </c>
      <c r="L255" s="93">
        <f t="shared" si="3"/>
        <v>18567486</v>
      </c>
      <c r="M255" s="94" t="s">
        <v>727</v>
      </c>
      <c r="N255" s="92" t="s">
        <v>708</v>
      </c>
      <c r="O255" s="96" t="s">
        <v>728</v>
      </c>
    </row>
    <row r="256" spans="1:15" ht="15" customHeight="1" x14ac:dyDescent="0.25">
      <c r="A256" s="91" t="s">
        <v>1325</v>
      </c>
      <c r="B256" s="92" t="s">
        <v>730</v>
      </c>
      <c r="C256" s="92" t="s">
        <v>131</v>
      </c>
      <c r="D256" s="92" t="s">
        <v>724</v>
      </c>
      <c r="E256" s="92" t="s">
        <v>1096</v>
      </c>
      <c r="F256" s="92" t="s">
        <v>1326</v>
      </c>
      <c r="G256" s="92"/>
      <c r="H256" s="92">
        <v>28</v>
      </c>
      <c r="I256" s="92">
        <v>8</v>
      </c>
      <c r="J256" s="92">
        <v>109</v>
      </c>
      <c r="K256" s="93">
        <v>16140</v>
      </c>
      <c r="L256" s="93">
        <f t="shared" si="3"/>
        <v>1759260</v>
      </c>
      <c r="M256" s="94" t="s">
        <v>700</v>
      </c>
      <c r="N256" s="92" t="s">
        <v>693</v>
      </c>
      <c r="O256" s="95" t="s">
        <v>694</v>
      </c>
    </row>
    <row r="257" spans="1:15" ht="15" customHeight="1" x14ac:dyDescent="0.25">
      <c r="A257" s="91" t="s">
        <v>1327</v>
      </c>
      <c r="B257" s="92" t="s">
        <v>703</v>
      </c>
      <c r="C257" s="92" t="s">
        <v>704</v>
      </c>
      <c r="D257" s="92" t="s">
        <v>716</v>
      </c>
      <c r="E257" s="92" t="s">
        <v>1328</v>
      </c>
      <c r="F257" s="92" t="s">
        <v>1329</v>
      </c>
      <c r="G257" s="92" t="s">
        <v>1329</v>
      </c>
      <c r="H257" s="92">
        <v>34</v>
      </c>
      <c r="I257" s="92">
        <v>0</v>
      </c>
      <c r="J257" s="92">
        <v>7</v>
      </c>
      <c r="K257" s="93">
        <v>15012</v>
      </c>
      <c r="L257" s="93">
        <f t="shared" si="3"/>
        <v>105084</v>
      </c>
      <c r="M257" s="94" t="s">
        <v>727</v>
      </c>
      <c r="N257" s="92" t="s">
        <v>708</v>
      </c>
      <c r="O257" s="96" t="s">
        <v>728</v>
      </c>
    </row>
    <row r="258" spans="1:15" ht="15" customHeight="1" x14ac:dyDescent="0.25">
      <c r="A258" s="91" t="s">
        <v>1330</v>
      </c>
      <c r="B258" s="92" t="s">
        <v>710</v>
      </c>
      <c r="C258" s="92" t="s">
        <v>96</v>
      </c>
      <c r="D258" s="92" t="s">
        <v>787</v>
      </c>
      <c r="E258" s="92" t="s">
        <v>1331</v>
      </c>
      <c r="F258" s="92" t="s">
        <v>1268</v>
      </c>
      <c r="G258" s="92"/>
      <c r="H258" s="92">
        <v>45</v>
      </c>
      <c r="I258" s="92">
        <v>0</v>
      </c>
      <c r="J258" s="92">
        <v>156</v>
      </c>
      <c r="K258" s="93">
        <v>52763</v>
      </c>
      <c r="L258" s="93">
        <f t="shared" ref="L258:L321" si="4">J258*K258</f>
        <v>8231028</v>
      </c>
      <c r="M258" s="92" t="s">
        <v>692</v>
      </c>
      <c r="N258" s="92" t="s">
        <v>693</v>
      </c>
      <c r="O258" s="95" t="s">
        <v>694</v>
      </c>
    </row>
    <row r="259" spans="1:15" ht="15" customHeight="1" x14ac:dyDescent="0.25">
      <c r="A259" s="91" t="s">
        <v>1332</v>
      </c>
      <c r="B259" s="92" t="s">
        <v>720</v>
      </c>
      <c r="C259" s="92" t="s">
        <v>103</v>
      </c>
      <c r="D259" s="92" t="s">
        <v>787</v>
      </c>
      <c r="E259" s="92" t="s">
        <v>1174</v>
      </c>
      <c r="F259" s="92" t="s">
        <v>1333</v>
      </c>
      <c r="G259" s="92" t="s">
        <v>1333</v>
      </c>
      <c r="H259" s="92">
        <v>26</v>
      </c>
      <c r="I259" s="92">
        <v>0</v>
      </c>
      <c r="J259" s="92">
        <v>58</v>
      </c>
      <c r="K259" s="93">
        <v>69449</v>
      </c>
      <c r="L259" s="93">
        <f t="shared" si="4"/>
        <v>4028042</v>
      </c>
      <c r="M259" s="94" t="s">
        <v>727</v>
      </c>
      <c r="N259" s="92" t="s">
        <v>742</v>
      </c>
      <c r="O259" s="96" t="s">
        <v>728</v>
      </c>
    </row>
    <row r="260" spans="1:15" ht="15" customHeight="1" x14ac:dyDescent="0.25">
      <c r="A260" s="91" t="s">
        <v>1334</v>
      </c>
      <c r="B260" s="92" t="s">
        <v>735</v>
      </c>
      <c r="C260" s="92" t="s">
        <v>51</v>
      </c>
      <c r="D260" s="92" t="s">
        <v>689</v>
      </c>
      <c r="E260" s="92" t="s">
        <v>1335</v>
      </c>
      <c r="F260" s="92" t="s">
        <v>1336</v>
      </c>
      <c r="G260" s="92"/>
      <c r="H260" s="92">
        <v>37</v>
      </c>
      <c r="I260" s="92">
        <v>0</v>
      </c>
      <c r="J260" s="92">
        <v>333</v>
      </c>
      <c r="K260" s="93">
        <v>20930</v>
      </c>
      <c r="L260" s="93">
        <f t="shared" si="4"/>
        <v>6969690</v>
      </c>
      <c r="M260" s="92" t="s">
        <v>692</v>
      </c>
      <c r="N260" s="92" t="s">
        <v>693</v>
      </c>
      <c r="O260" s="95" t="s">
        <v>694</v>
      </c>
    </row>
    <row r="261" spans="1:15" ht="15" customHeight="1" x14ac:dyDescent="0.25">
      <c r="A261" s="91" t="s">
        <v>1337</v>
      </c>
      <c r="B261" s="92" t="s">
        <v>753</v>
      </c>
      <c r="C261" s="92" t="s">
        <v>51</v>
      </c>
      <c r="D261" s="92" t="s">
        <v>716</v>
      </c>
      <c r="E261" s="92" t="s">
        <v>861</v>
      </c>
      <c r="F261" s="92" t="s">
        <v>833</v>
      </c>
      <c r="G261" s="92"/>
      <c r="H261" s="92">
        <v>26</v>
      </c>
      <c r="I261" s="92">
        <v>0</v>
      </c>
      <c r="J261" s="92">
        <v>76</v>
      </c>
      <c r="K261" s="93">
        <v>40552</v>
      </c>
      <c r="L261" s="93">
        <f t="shared" si="4"/>
        <v>3081952</v>
      </c>
      <c r="M261" s="92" t="s">
        <v>692</v>
      </c>
      <c r="N261" s="92" t="s">
        <v>714</v>
      </c>
      <c r="O261" s="95" t="s">
        <v>694</v>
      </c>
    </row>
    <row r="262" spans="1:15" ht="15" customHeight="1" x14ac:dyDescent="0.25">
      <c r="A262" s="91" t="s">
        <v>1338</v>
      </c>
      <c r="B262" s="92" t="s">
        <v>696</v>
      </c>
      <c r="C262" s="92" t="s">
        <v>96</v>
      </c>
      <c r="D262" s="92" t="s">
        <v>711</v>
      </c>
      <c r="E262" s="92" t="s">
        <v>1339</v>
      </c>
      <c r="F262" s="92" t="s">
        <v>992</v>
      </c>
      <c r="G262" s="92"/>
      <c r="H262" s="92">
        <v>16</v>
      </c>
      <c r="I262" s="92">
        <v>0</v>
      </c>
      <c r="J262" s="92">
        <v>228</v>
      </c>
      <c r="K262" s="93">
        <v>81947</v>
      </c>
      <c r="L262" s="93">
        <f t="shared" si="4"/>
        <v>18683916</v>
      </c>
      <c r="M262" s="92" t="s">
        <v>692</v>
      </c>
      <c r="N262" s="92" t="s">
        <v>708</v>
      </c>
      <c r="O262" s="95" t="s">
        <v>694</v>
      </c>
    </row>
    <row r="263" spans="1:15" ht="15" customHeight="1" x14ac:dyDescent="0.25">
      <c r="A263" s="91" t="s">
        <v>1340</v>
      </c>
      <c r="B263" s="92" t="s">
        <v>735</v>
      </c>
      <c r="C263" s="92" t="s">
        <v>51</v>
      </c>
      <c r="D263" s="92" t="s">
        <v>697</v>
      </c>
      <c r="E263" s="92" t="s">
        <v>1341</v>
      </c>
      <c r="F263" s="92" t="s">
        <v>1342</v>
      </c>
      <c r="G263" s="92" t="s">
        <v>1342</v>
      </c>
      <c r="H263" s="92">
        <v>44</v>
      </c>
      <c r="I263" s="92">
        <v>0</v>
      </c>
      <c r="J263" s="92">
        <v>427</v>
      </c>
      <c r="K263" s="93">
        <v>33601</v>
      </c>
      <c r="L263" s="93">
        <f t="shared" si="4"/>
        <v>14347627</v>
      </c>
      <c r="M263" s="94" t="s">
        <v>727</v>
      </c>
      <c r="N263" s="92" t="s">
        <v>701</v>
      </c>
      <c r="O263" s="96" t="s">
        <v>728</v>
      </c>
    </row>
    <row r="264" spans="1:15" ht="15" customHeight="1" x14ac:dyDescent="0.25">
      <c r="A264" s="91" t="s">
        <v>1343</v>
      </c>
      <c r="B264" s="92" t="s">
        <v>735</v>
      </c>
      <c r="C264" s="92" t="s">
        <v>51</v>
      </c>
      <c r="D264" s="92" t="s">
        <v>716</v>
      </c>
      <c r="E264" s="92" t="s">
        <v>1024</v>
      </c>
      <c r="F264" s="92" t="s">
        <v>1344</v>
      </c>
      <c r="G264" s="92"/>
      <c r="H264" s="92">
        <v>34</v>
      </c>
      <c r="I264" s="92">
        <v>18</v>
      </c>
      <c r="J264" s="92">
        <v>378</v>
      </c>
      <c r="K264" s="93">
        <v>49397</v>
      </c>
      <c r="L264" s="93">
        <f t="shared" si="4"/>
        <v>18672066</v>
      </c>
      <c r="M264" s="94" t="s">
        <v>700</v>
      </c>
      <c r="N264" s="92" t="s">
        <v>693</v>
      </c>
      <c r="O264" s="95" t="s">
        <v>694</v>
      </c>
    </row>
    <row r="265" spans="1:15" ht="15" customHeight="1" x14ac:dyDescent="0.25">
      <c r="A265" s="91" t="s">
        <v>1345</v>
      </c>
      <c r="B265" s="92" t="s">
        <v>703</v>
      </c>
      <c r="C265" s="92" t="s">
        <v>704</v>
      </c>
      <c r="D265" s="92" t="s">
        <v>731</v>
      </c>
      <c r="E265" s="92" t="s">
        <v>1346</v>
      </c>
      <c r="F265" s="92" t="s">
        <v>788</v>
      </c>
      <c r="G265" s="92" t="s">
        <v>788</v>
      </c>
      <c r="H265" s="92">
        <v>38</v>
      </c>
      <c r="I265" s="92">
        <v>0</v>
      </c>
      <c r="J265" s="92">
        <v>314</v>
      </c>
      <c r="K265" s="93">
        <v>79531</v>
      </c>
      <c r="L265" s="93">
        <f t="shared" si="4"/>
        <v>24972734</v>
      </c>
      <c r="M265" s="94" t="s">
        <v>727</v>
      </c>
      <c r="N265" s="92" t="s">
        <v>708</v>
      </c>
      <c r="O265" s="96" t="s">
        <v>728</v>
      </c>
    </row>
    <row r="266" spans="1:15" ht="15" customHeight="1" x14ac:dyDescent="0.25">
      <c r="A266" s="91" t="s">
        <v>1347</v>
      </c>
      <c r="B266" s="92" t="s">
        <v>753</v>
      </c>
      <c r="C266" s="92" t="s">
        <v>51</v>
      </c>
      <c r="D266" s="92" t="s">
        <v>731</v>
      </c>
      <c r="E266" s="92" t="s">
        <v>1348</v>
      </c>
      <c r="F266" s="92" t="s">
        <v>765</v>
      </c>
      <c r="G266" s="92" t="s">
        <v>765</v>
      </c>
      <c r="H266" s="92">
        <v>40</v>
      </c>
      <c r="I266" s="92">
        <v>0</v>
      </c>
      <c r="J266" s="92">
        <v>33</v>
      </c>
      <c r="K266" s="93">
        <v>23133</v>
      </c>
      <c r="L266" s="93">
        <f t="shared" si="4"/>
        <v>763389</v>
      </c>
      <c r="M266" s="94" t="s">
        <v>727</v>
      </c>
      <c r="N266" s="92" t="s">
        <v>708</v>
      </c>
      <c r="O266" s="96" t="s">
        <v>728</v>
      </c>
    </row>
    <row r="267" spans="1:15" ht="15" customHeight="1" x14ac:dyDescent="0.25">
      <c r="A267" s="91" t="s">
        <v>1349</v>
      </c>
      <c r="B267" s="92" t="s">
        <v>710</v>
      </c>
      <c r="C267" s="92" t="s">
        <v>96</v>
      </c>
      <c r="D267" s="92" t="s">
        <v>716</v>
      </c>
      <c r="E267" s="92" t="s">
        <v>1350</v>
      </c>
      <c r="F267" s="92" t="s">
        <v>1311</v>
      </c>
      <c r="G267" s="92"/>
      <c r="H267" s="92">
        <v>38</v>
      </c>
      <c r="I267" s="92">
        <v>0</v>
      </c>
      <c r="J267" s="92">
        <v>331</v>
      </c>
      <c r="K267" s="93">
        <v>29802</v>
      </c>
      <c r="L267" s="93">
        <f t="shared" si="4"/>
        <v>9864462</v>
      </c>
      <c r="M267" s="92" t="s">
        <v>692</v>
      </c>
      <c r="N267" s="92" t="s">
        <v>708</v>
      </c>
      <c r="O267" s="95" t="s">
        <v>694</v>
      </c>
    </row>
    <row r="268" spans="1:15" ht="15" customHeight="1" x14ac:dyDescent="0.25">
      <c r="A268" s="91" t="s">
        <v>1351</v>
      </c>
      <c r="B268" s="92" t="s">
        <v>735</v>
      </c>
      <c r="C268" s="92" t="s">
        <v>51</v>
      </c>
      <c r="D268" s="92" t="s">
        <v>711</v>
      </c>
      <c r="E268" s="92" t="s">
        <v>1352</v>
      </c>
      <c r="F268" s="92" t="s">
        <v>1353</v>
      </c>
      <c r="G268" s="92"/>
      <c r="H268" s="92">
        <v>25</v>
      </c>
      <c r="I268" s="92">
        <v>0</v>
      </c>
      <c r="J268" s="92">
        <v>241</v>
      </c>
      <c r="K268" s="93">
        <v>29555</v>
      </c>
      <c r="L268" s="93">
        <f t="shared" si="4"/>
        <v>7122755</v>
      </c>
      <c r="M268" s="92" t="s">
        <v>692</v>
      </c>
      <c r="N268" s="92" t="s">
        <v>742</v>
      </c>
      <c r="O268" s="95" t="s">
        <v>694</v>
      </c>
    </row>
    <row r="269" spans="1:15" ht="15" customHeight="1" x14ac:dyDescent="0.25">
      <c r="A269" s="91" t="s">
        <v>1354</v>
      </c>
      <c r="B269" s="92" t="s">
        <v>688</v>
      </c>
      <c r="C269" s="92" t="s">
        <v>68</v>
      </c>
      <c r="D269" s="92" t="s">
        <v>689</v>
      </c>
      <c r="E269" s="92" t="s">
        <v>1355</v>
      </c>
      <c r="F269" s="92" t="s">
        <v>1138</v>
      </c>
      <c r="G269" s="92"/>
      <c r="H269" s="92">
        <v>44</v>
      </c>
      <c r="I269" s="92">
        <v>0</v>
      </c>
      <c r="J269" s="92">
        <v>174</v>
      </c>
      <c r="K269" s="93">
        <v>78387</v>
      </c>
      <c r="L269" s="93">
        <f t="shared" si="4"/>
        <v>13639338</v>
      </c>
      <c r="M269" s="94" t="s">
        <v>759</v>
      </c>
      <c r="N269" s="92" t="s">
        <v>708</v>
      </c>
      <c r="O269" s="95" t="s">
        <v>694</v>
      </c>
    </row>
    <row r="270" spans="1:15" ht="15" customHeight="1" x14ac:dyDescent="0.25">
      <c r="A270" s="91" t="s">
        <v>1356</v>
      </c>
      <c r="B270" s="92" t="s">
        <v>780</v>
      </c>
      <c r="C270" s="92" t="s">
        <v>86</v>
      </c>
      <c r="D270" s="92" t="s">
        <v>724</v>
      </c>
      <c r="E270" s="92" t="s">
        <v>942</v>
      </c>
      <c r="F270" s="92" t="s">
        <v>1160</v>
      </c>
      <c r="G270" s="92"/>
      <c r="H270" s="92">
        <v>31</v>
      </c>
      <c r="I270" s="92">
        <v>14</v>
      </c>
      <c r="J270" s="92">
        <v>408</v>
      </c>
      <c r="K270" s="93">
        <v>40411</v>
      </c>
      <c r="L270" s="93">
        <f t="shared" si="4"/>
        <v>16487688</v>
      </c>
      <c r="M270" s="94" t="s">
        <v>700</v>
      </c>
      <c r="N270" s="92" t="s">
        <v>742</v>
      </c>
      <c r="O270" s="95" t="s">
        <v>694</v>
      </c>
    </row>
    <row r="271" spans="1:15" ht="15" customHeight="1" x14ac:dyDescent="0.25">
      <c r="A271" s="91" t="s">
        <v>1357</v>
      </c>
      <c r="B271" s="92" t="s">
        <v>730</v>
      </c>
      <c r="C271" s="92" t="s">
        <v>131</v>
      </c>
      <c r="D271" s="92" t="s">
        <v>689</v>
      </c>
      <c r="E271" s="92" t="s">
        <v>1358</v>
      </c>
      <c r="F271" s="92" t="s">
        <v>1359</v>
      </c>
      <c r="G271" s="92"/>
      <c r="H271" s="92">
        <v>25</v>
      </c>
      <c r="I271" s="92">
        <v>0</v>
      </c>
      <c r="J271" s="92">
        <v>45</v>
      </c>
      <c r="K271" s="93">
        <v>56866</v>
      </c>
      <c r="L271" s="93">
        <f t="shared" si="4"/>
        <v>2558970</v>
      </c>
      <c r="M271" s="92" t="s">
        <v>692</v>
      </c>
      <c r="N271" s="92" t="s">
        <v>742</v>
      </c>
      <c r="O271" s="95" t="s">
        <v>694</v>
      </c>
    </row>
    <row r="272" spans="1:15" ht="15" customHeight="1" x14ac:dyDescent="0.25">
      <c r="A272" s="91" t="s">
        <v>1360</v>
      </c>
      <c r="B272" s="92" t="s">
        <v>780</v>
      </c>
      <c r="C272" s="92" t="s">
        <v>86</v>
      </c>
      <c r="D272" s="92" t="s">
        <v>689</v>
      </c>
      <c r="E272" s="92" t="s">
        <v>942</v>
      </c>
      <c r="F272" s="92" t="s">
        <v>945</v>
      </c>
      <c r="G272" s="92"/>
      <c r="H272" s="92">
        <v>17</v>
      </c>
      <c r="I272" s="92">
        <v>0</v>
      </c>
      <c r="J272" s="92">
        <v>52</v>
      </c>
      <c r="K272" s="93">
        <v>67549</v>
      </c>
      <c r="L272" s="93">
        <f t="shared" si="4"/>
        <v>3512548</v>
      </c>
      <c r="M272" s="92" t="s">
        <v>692</v>
      </c>
      <c r="N272" s="92" t="s">
        <v>708</v>
      </c>
      <c r="O272" s="95" t="s">
        <v>694</v>
      </c>
    </row>
    <row r="273" spans="1:15" ht="15" customHeight="1" x14ac:dyDescent="0.25">
      <c r="A273" s="91" t="s">
        <v>1361</v>
      </c>
      <c r="B273" s="92" t="s">
        <v>703</v>
      </c>
      <c r="C273" s="92" t="s">
        <v>704</v>
      </c>
      <c r="D273" s="92" t="s">
        <v>689</v>
      </c>
      <c r="E273" s="92" t="s">
        <v>1362</v>
      </c>
      <c r="F273" s="92" t="s">
        <v>1363</v>
      </c>
      <c r="G273" s="92" t="s">
        <v>1363</v>
      </c>
      <c r="H273" s="92">
        <v>20</v>
      </c>
      <c r="I273" s="92">
        <v>0</v>
      </c>
      <c r="J273" s="92">
        <v>134</v>
      </c>
      <c r="K273" s="93">
        <v>30670</v>
      </c>
      <c r="L273" s="93">
        <f t="shared" si="4"/>
        <v>4109780</v>
      </c>
      <c r="M273" s="94" t="s">
        <v>727</v>
      </c>
      <c r="N273" s="92" t="s">
        <v>742</v>
      </c>
      <c r="O273" s="96" t="s">
        <v>728</v>
      </c>
    </row>
    <row r="274" spans="1:15" ht="15" customHeight="1" x14ac:dyDescent="0.25">
      <c r="A274" s="91" t="s">
        <v>1364</v>
      </c>
      <c r="B274" s="92" t="s">
        <v>780</v>
      </c>
      <c r="C274" s="92" t="s">
        <v>86</v>
      </c>
      <c r="D274" s="92" t="s">
        <v>731</v>
      </c>
      <c r="E274" s="92" t="s">
        <v>1365</v>
      </c>
      <c r="F274" s="92" t="s">
        <v>1271</v>
      </c>
      <c r="G274" s="92" t="s">
        <v>1271</v>
      </c>
      <c r="H274" s="92">
        <v>11</v>
      </c>
      <c r="I274" s="92">
        <v>0</v>
      </c>
      <c r="J274" s="92">
        <v>62</v>
      </c>
      <c r="K274" s="93">
        <v>47987</v>
      </c>
      <c r="L274" s="93">
        <f t="shared" si="4"/>
        <v>2975194</v>
      </c>
      <c r="M274" s="94" t="s">
        <v>727</v>
      </c>
      <c r="N274" s="92" t="s">
        <v>708</v>
      </c>
      <c r="O274" s="96" t="s">
        <v>728</v>
      </c>
    </row>
    <row r="275" spans="1:15" ht="15" customHeight="1" x14ac:dyDescent="0.25">
      <c r="A275" s="91" t="s">
        <v>1366</v>
      </c>
      <c r="B275" s="92" t="s">
        <v>703</v>
      </c>
      <c r="C275" s="92" t="s">
        <v>704</v>
      </c>
      <c r="D275" s="92" t="s">
        <v>705</v>
      </c>
      <c r="E275" s="92" t="s">
        <v>1020</v>
      </c>
      <c r="F275" s="92" t="s">
        <v>1259</v>
      </c>
      <c r="G275" s="92"/>
      <c r="H275" s="92">
        <v>29</v>
      </c>
      <c r="I275" s="92">
        <v>0</v>
      </c>
      <c r="J275" s="92">
        <v>395</v>
      </c>
      <c r="K275" s="93">
        <v>74667</v>
      </c>
      <c r="L275" s="93">
        <f t="shared" si="4"/>
        <v>29493465</v>
      </c>
      <c r="M275" s="92" t="s">
        <v>692</v>
      </c>
      <c r="N275" s="92" t="s">
        <v>701</v>
      </c>
      <c r="O275" s="95" t="s">
        <v>694</v>
      </c>
    </row>
    <row r="276" spans="1:15" ht="15" customHeight="1" x14ac:dyDescent="0.25">
      <c r="A276" s="91" t="s">
        <v>1367</v>
      </c>
      <c r="B276" s="92" t="s">
        <v>780</v>
      </c>
      <c r="C276" s="92" t="s">
        <v>86</v>
      </c>
      <c r="D276" s="92" t="s">
        <v>716</v>
      </c>
      <c r="E276" s="92" t="s">
        <v>847</v>
      </c>
      <c r="F276" s="92" t="s">
        <v>1368</v>
      </c>
      <c r="G276" s="92"/>
      <c r="H276" s="92">
        <v>10</v>
      </c>
      <c r="I276" s="92">
        <v>17</v>
      </c>
      <c r="J276" s="92">
        <v>410</v>
      </c>
      <c r="K276" s="93">
        <v>39128</v>
      </c>
      <c r="L276" s="93">
        <f t="shared" si="4"/>
        <v>16042480</v>
      </c>
      <c r="M276" s="94" t="s">
        <v>700</v>
      </c>
      <c r="N276" s="92" t="s">
        <v>714</v>
      </c>
      <c r="O276" s="95" t="s">
        <v>694</v>
      </c>
    </row>
    <row r="277" spans="1:15" ht="15" customHeight="1" x14ac:dyDescent="0.25">
      <c r="A277" s="91" t="s">
        <v>1369</v>
      </c>
      <c r="B277" s="92" t="s">
        <v>696</v>
      </c>
      <c r="C277" s="92" t="s">
        <v>96</v>
      </c>
      <c r="D277" s="92" t="s">
        <v>716</v>
      </c>
      <c r="E277" s="92" t="s">
        <v>1025</v>
      </c>
      <c r="F277" s="92" t="s">
        <v>1195</v>
      </c>
      <c r="G277" s="92" t="s">
        <v>1195</v>
      </c>
      <c r="H277" s="92">
        <v>42</v>
      </c>
      <c r="I277" s="92">
        <v>0</v>
      </c>
      <c r="J277" s="92">
        <v>61</v>
      </c>
      <c r="K277" s="93">
        <v>74088</v>
      </c>
      <c r="L277" s="93">
        <f t="shared" si="4"/>
        <v>4519368</v>
      </c>
      <c r="M277" s="94" t="s">
        <v>727</v>
      </c>
      <c r="N277" s="92" t="s">
        <v>701</v>
      </c>
      <c r="O277" s="96" t="s">
        <v>728</v>
      </c>
    </row>
    <row r="278" spans="1:15" ht="15" customHeight="1" x14ac:dyDescent="0.25">
      <c r="A278" s="91" t="s">
        <v>1370</v>
      </c>
      <c r="B278" s="92" t="s">
        <v>780</v>
      </c>
      <c r="C278" s="92" t="s">
        <v>86</v>
      </c>
      <c r="D278" s="92" t="s">
        <v>724</v>
      </c>
      <c r="E278" s="92" t="s">
        <v>1371</v>
      </c>
      <c r="F278" s="92" t="s">
        <v>1372</v>
      </c>
      <c r="G278" s="92"/>
      <c r="H278" s="92">
        <v>35</v>
      </c>
      <c r="I278" s="92">
        <v>0</v>
      </c>
      <c r="J278" s="92">
        <v>256</v>
      </c>
      <c r="K278" s="93">
        <v>62401</v>
      </c>
      <c r="L278" s="93">
        <f t="shared" si="4"/>
        <v>15974656</v>
      </c>
      <c r="M278" s="92" t="s">
        <v>692</v>
      </c>
      <c r="N278" s="92" t="s">
        <v>714</v>
      </c>
      <c r="O278" s="95" t="s">
        <v>694</v>
      </c>
    </row>
    <row r="279" spans="1:15" ht="15" customHeight="1" x14ac:dyDescent="0.25">
      <c r="A279" s="91" t="s">
        <v>1373</v>
      </c>
      <c r="B279" s="92" t="s">
        <v>780</v>
      </c>
      <c r="C279" s="92" t="s">
        <v>86</v>
      </c>
      <c r="D279" s="92" t="s">
        <v>705</v>
      </c>
      <c r="E279" s="92" t="s">
        <v>1374</v>
      </c>
      <c r="F279" s="92" t="s">
        <v>1261</v>
      </c>
      <c r="G279" s="92"/>
      <c r="H279" s="92">
        <v>28</v>
      </c>
      <c r="I279" s="92">
        <v>0</v>
      </c>
      <c r="J279" s="92">
        <v>63</v>
      </c>
      <c r="K279" s="93">
        <v>72206</v>
      </c>
      <c r="L279" s="93">
        <f t="shared" si="4"/>
        <v>4548978</v>
      </c>
      <c r="M279" s="92" t="s">
        <v>692</v>
      </c>
      <c r="N279" s="92" t="s">
        <v>708</v>
      </c>
      <c r="O279" s="95" t="s">
        <v>694</v>
      </c>
    </row>
    <row r="280" spans="1:15" ht="15" customHeight="1" x14ac:dyDescent="0.25">
      <c r="A280" s="91" t="s">
        <v>1375</v>
      </c>
      <c r="B280" s="92" t="s">
        <v>739</v>
      </c>
      <c r="C280" s="92" t="s">
        <v>51</v>
      </c>
      <c r="D280" s="92" t="s">
        <v>731</v>
      </c>
      <c r="E280" s="92" t="s">
        <v>1376</v>
      </c>
      <c r="F280" s="92" t="s">
        <v>1041</v>
      </c>
      <c r="G280" s="92"/>
      <c r="H280" s="92">
        <v>22</v>
      </c>
      <c r="I280" s="92">
        <v>0</v>
      </c>
      <c r="J280" s="92">
        <v>243</v>
      </c>
      <c r="K280" s="93">
        <v>29342</v>
      </c>
      <c r="L280" s="93">
        <f t="shared" si="4"/>
        <v>7130106</v>
      </c>
      <c r="M280" s="92" t="s">
        <v>692</v>
      </c>
      <c r="N280" s="92" t="s">
        <v>693</v>
      </c>
      <c r="O280" s="95" t="s">
        <v>694</v>
      </c>
    </row>
    <row r="281" spans="1:15" ht="15" customHeight="1" x14ac:dyDescent="0.25">
      <c r="A281" s="91" t="s">
        <v>1377</v>
      </c>
      <c r="B281" s="92" t="s">
        <v>780</v>
      </c>
      <c r="C281" s="92" t="s">
        <v>86</v>
      </c>
      <c r="D281" s="92" t="s">
        <v>716</v>
      </c>
      <c r="E281" s="92" t="s">
        <v>1329</v>
      </c>
      <c r="F281" s="92" t="s">
        <v>1304</v>
      </c>
      <c r="G281" s="92" t="s">
        <v>1304</v>
      </c>
      <c r="H281" s="92">
        <v>24</v>
      </c>
      <c r="I281" s="92">
        <v>0</v>
      </c>
      <c r="J281" s="92">
        <v>323</v>
      </c>
      <c r="K281" s="93">
        <v>56692</v>
      </c>
      <c r="L281" s="93">
        <f t="shared" si="4"/>
        <v>18311516</v>
      </c>
      <c r="M281" s="94" t="s">
        <v>727</v>
      </c>
      <c r="N281" s="92" t="s">
        <v>742</v>
      </c>
      <c r="O281" s="96" t="s">
        <v>728</v>
      </c>
    </row>
    <row r="282" spans="1:15" ht="15" customHeight="1" x14ac:dyDescent="0.25">
      <c r="A282" s="91" t="s">
        <v>1378</v>
      </c>
      <c r="B282" s="92" t="s">
        <v>688</v>
      </c>
      <c r="C282" s="92" t="s">
        <v>68</v>
      </c>
      <c r="D282" s="92" t="s">
        <v>787</v>
      </c>
      <c r="E282" s="92" t="s">
        <v>1379</v>
      </c>
      <c r="F282" s="92" t="s">
        <v>1288</v>
      </c>
      <c r="G282" s="92" t="s">
        <v>1288</v>
      </c>
      <c r="H282" s="92">
        <v>21</v>
      </c>
      <c r="I282" s="92">
        <v>0</v>
      </c>
      <c r="J282" s="92">
        <v>210</v>
      </c>
      <c r="K282" s="93">
        <v>76387</v>
      </c>
      <c r="L282" s="93">
        <f t="shared" si="4"/>
        <v>16041270</v>
      </c>
      <c r="M282" s="94" t="s">
        <v>727</v>
      </c>
      <c r="N282" s="92" t="s">
        <v>693</v>
      </c>
      <c r="O282" s="96" t="s">
        <v>728</v>
      </c>
    </row>
    <row r="283" spans="1:15" ht="15" customHeight="1" x14ac:dyDescent="0.25">
      <c r="A283" s="91" t="s">
        <v>1380</v>
      </c>
      <c r="B283" s="92" t="s">
        <v>720</v>
      </c>
      <c r="C283" s="92" t="s">
        <v>103</v>
      </c>
      <c r="D283" s="92" t="s">
        <v>731</v>
      </c>
      <c r="E283" s="92" t="s">
        <v>1381</v>
      </c>
      <c r="F283" s="92" t="s">
        <v>1382</v>
      </c>
      <c r="G283" s="92" t="s">
        <v>1382</v>
      </c>
      <c r="H283" s="92">
        <v>35</v>
      </c>
      <c r="I283" s="92">
        <v>0</v>
      </c>
      <c r="J283" s="92">
        <v>265</v>
      </c>
      <c r="K283" s="93">
        <v>80238</v>
      </c>
      <c r="L283" s="93">
        <f t="shared" si="4"/>
        <v>21263070</v>
      </c>
      <c r="M283" s="94" t="s">
        <v>727</v>
      </c>
      <c r="N283" s="92" t="s">
        <v>714</v>
      </c>
      <c r="O283" s="96" t="s">
        <v>728</v>
      </c>
    </row>
    <row r="284" spans="1:15" ht="15" customHeight="1" x14ac:dyDescent="0.25">
      <c r="A284" s="91" t="s">
        <v>1383</v>
      </c>
      <c r="B284" s="92" t="s">
        <v>720</v>
      </c>
      <c r="C284" s="92" t="s">
        <v>103</v>
      </c>
      <c r="D284" s="92" t="s">
        <v>705</v>
      </c>
      <c r="E284" s="92" t="s">
        <v>793</v>
      </c>
      <c r="F284" s="92" t="s">
        <v>1133</v>
      </c>
      <c r="G284" s="92"/>
      <c r="H284" s="92">
        <v>32</v>
      </c>
      <c r="I284" s="92">
        <v>8</v>
      </c>
      <c r="J284" s="92">
        <v>223</v>
      </c>
      <c r="K284" s="93">
        <v>5694</v>
      </c>
      <c r="L284" s="93">
        <f t="shared" si="4"/>
        <v>1269762</v>
      </c>
      <c r="M284" s="94" t="s">
        <v>700</v>
      </c>
      <c r="N284" s="92" t="s">
        <v>714</v>
      </c>
      <c r="O284" s="95" t="s">
        <v>694</v>
      </c>
    </row>
    <row r="285" spans="1:15" ht="15" customHeight="1" x14ac:dyDescent="0.25">
      <c r="A285" s="91" t="s">
        <v>1384</v>
      </c>
      <c r="B285" s="92" t="s">
        <v>780</v>
      </c>
      <c r="C285" s="92" t="s">
        <v>86</v>
      </c>
      <c r="D285" s="92" t="s">
        <v>731</v>
      </c>
      <c r="E285" s="92" t="s">
        <v>948</v>
      </c>
      <c r="F285" s="92" t="s">
        <v>1164</v>
      </c>
      <c r="G285" s="92"/>
      <c r="H285" s="92">
        <v>40</v>
      </c>
      <c r="I285" s="92">
        <v>16</v>
      </c>
      <c r="J285" s="92">
        <v>206</v>
      </c>
      <c r="K285" s="93">
        <v>75349</v>
      </c>
      <c r="L285" s="93">
        <f t="shared" si="4"/>
        <v>15521894</v>
      </c>
      <c r="M285" s="94" t="s">
        <v>700</v>
      </c>
      <c r="N285" s="92" t="s">
        <v>693</v>
      </c>
      <c r="O285" s="95" t="s">
        <v>694</v>
      </c>
    </row>
    <row r="286" spans="1:15" ht="15" customHeight="1" x14ac:dyDescent="0.25">
      <c r="A286" s="91" t="s">
        <v>1385</v>
      </c>
      <c r="B286" s="92" t="s">
        <v>703</v>
      </c>
      <c r="C286" s="92" t="s">
        <v>704</v>
      </c>
      <c r="D286" s="92" t="s">
        <v>705</v>
      </c>
      <c r="E286" s="92" t="s">
        <v>1386</v>
      </c>
      <c r="F286" s="92" t="s">
        <v>1387</v>
      </c>
      <c r="G286" s="92" t="s">
        <v>1388</v>
      </c>
      <c r="H286" s="92">
        <v>29</v>
      </c>
      <c r="I286" s="92">
        <v>5</v>
      </c>
      <c r="J286" s="92">
        <v>313</v>
      </c>
      <c r="K286" s="93">
        <v>78278</v>
      </c>
      <c r="L286" s="93">
        <f t="shared" si="4"/>
        <v>24501014</v>
      </c>
      <c r="M286" s="94" t="s">
        <v>727</v>
      </c>
      <c r="N286" s="92" t="s">
        <v>708</v>
      </c>
      <c r="O286" s="96" t="s">
        <v>778</v>
      </c>
    </row>
    <row r="287" spans="1:15" ht="15" customHeight="1" x14ac:dyDescent="0.25">
      <c r="A287" s="91" t="s">
        <v>1389</v>
      </c>
      <c r="B287" s="92" t="s">
        <v>710</v>
      </c>
      <c r="C287" s="92" t="s">
        <v>96</v>
      </c>
      <c r="D287" s="92" t="s">
        <v>689</v>
      </c>
      <c r="E287" s="92" t="s">
        <v>1390</v>
      </c>
      <c r="F287" s="92" t="s">
        <v>1391</v>
      </c>
      <c r="G287" s="92"/>
      <c r="H287" s="92">
        <v>41</v>
      </c>
      <c r="I287" s="92">
        <v>0</v>
      </c>
      <c r="J287" s="92">
        <v>317</v>
      </c>
      <c r="K287" s="93">
        <v>55597</v>
      </c>
      <c r="L287" s="93">
        <f t="shared" si="4"/>
        <v>17624249</v>
      </c>
      <c r="M287" s="92" t="s">
        <v>692</v>
      </c>
      <c r="N287" s="92" t="s">
        <v>701</v>
      </c>
      <c r="O287" s="95" t="s">
        <v>694</v>
      </c>
    </row>
    <row r="288" spans="1:15" ht="15" customHeight="1" x14ac:dyDescent="0.25">
      <c r="A288" s="91" t="s">
        <v>1392</v>
      </c>
      <c r="B288" s="92" t="s">
        <v>739</v>
      </c>
      <c r="C288" s="92" t="s">
        <v>51</v>
      </c>
      <c r="D288" s="92" t="s">
        <v>689</v>
      </c>
      <c r="E288" s="92" t="s">
        <v>1393</v>
      </c>
      <c r="F288" s="92" t="s">
        <v>382</v>
      </c>
      <c r="G288" s="92" t="s">
        <v>382</v>
      </c>
      <c r="H288" s="92">
        <v>26</v>
      </c>
      <c r="I288" s="92">
        <v>0</v>
      </c>
      <c r="J288" s="92">
        <v>372</v>
      </c>
      <c r="K288" s="93">
        <v>61245</v>
      </c>
      <c r="L288" s="93">
        <f t="shared" si="4"/>
        <v>22783140</v>
      </c>
      <c r="M288" s="94" t="s">
        <v>727</v>
      </c>
      <c r="N288" s="92" t="s">
        <v>742</v>
      </c>
      <c r="O288" s="96" t="s">
        <v>728</v>
      </c>
    </row>
    <row r="289" spans="1:15" ht="15" customHeight="1" x14ac:dyDescent="0.25">
      <c r="A289" s="91" t="s">
        <v>1394</v>
      </c>
      <c r="B289" s="92" t="s">
        <v>688</v>
      </c>
      <c r="C289" s="92" t="s">
        <v>68</v>
      </c>
      <c r="D289" s="92" t="s">
        <v>724</v>
      </c>
      <c r="E289" s="92" t="s">
        <v>1251</v>
      </c>
      <c r="F289" s="92" t="s">
        <v>791</v>
      </c>
      <c r="G289" s="92" t="s">
        <v>791</v>
      </c>
      <c r="H289" s="92">
        <v>20</v>
      </c>
      <c r="I289" s="92">
        <v>0</v>
      </c>
      <c r="J289" s="92">
        <v>175</v>
      </c>
      <c r="K289" s="93">
        <v>64470</v>
      </c>
      <c r="L289" s="93">
        <f t="shared" si="4"/>
        <v>11282250</v>
      </c>
      <c r="M289" s="94" t="s">
        <v>727</v>
      </c>
      <c r="N289" s="92" t="s">
        <v>742</v>
      </c>
      <c r="O289" s="96" t="s">
        <v>728</v>
      </c>
    </row>
    <row r="290" spans="1:15" ht="15" customHeight="1" x14ac:dyDescent="0.25">
      <c r="A290" s="91" t="s">
        <v>1395</v>
      </c>
      <c r="B290" s="92" t="s">
        <v>735</v>
      </c>
      <c r="C290" s="92" t="s">
        <v>51</v>
      </c>
      <c r="D290" s="92" t="s">
        <v>731</v>
      </c>
      <c r="E290" s="92" t="s">
        <v>980</v>
      </c>
      <c r="F290" s="92" t="s">
        <v>1396</v>
      </c>
      <c r="G290" s="92" t="s">
        <v>1396</v>
      </c>
      <c r="H290" s="92">
        <v>41</v>
      </c>
      <c r="I290" s="92">
        <v>0</v>
      </c>
      <c r="J290" s="92">
        <v>156</v>
      </c>
      <c r="K290" s="93">
        <v>61890</v>
      </c>
      <c r="L290" s="93">
        <f t="shared" si="4"/>
        <v>9654840</v>
      </c>
      <c r="M290" s="94" t="s">
        <v>727</v>
      </c>
      <c r="N290" s="92" t="s">
        <v>693</v>
      </c>
      <c r="O290" s="96" t="s">
        <v>728</v>
      </c>
    </row>
    <row r="291" spans="1:15" ht="15" customHeight="1" x14ac:dyDescent="0.25">
      <c r="A291" s="91" t="s">
        <v>1397</v>
      </c>
      <c r="B291" s="92" t="s">
        <v>696</v>
      </c>
      <c r="C291" s="92" t="s">
        <v>96</v>
      </c>
      <c r="D291" s="92" t="s">
        <v>731</v>
      </c>
      <c r="E291" s="92" t="s">
        <v>1286</v>
      </c>
      <c r="F291" s="92" t="s">
        <v>1398</v>
      </c>
      <c r="G291" s="92" t="s">
        <v>1398</v>
      </c>
      <c r="H291" s="92">
        <v>30</v>
      </c>
      <c r="I291" s="92">
        <v>0</v>
      </c>
      <c r="J291" s="92">
        <v>25</v>
      </c>
      <c r="K291" s="93">
        <v>64429</v>
      </c>
      <c r="L291" s="93">
        <f t="shared" si="4"/>
        <v>1610725</v>
      </c>
      <c r="M291" s="94" t="s">
        <v>727</v>
      </c>
      <c r="N291" s="92" t="s">
        <v>714</v>
      </c>
      <c r="O291" s="96" t="s">
        <v>728</v>
      </c>
    </row>
    <row r="292" spans="1:15" ht="15" customHeight="1" x14ac:dyDescent="0.25">
      <c r="A292" s="91" t="s">
        <v>1399</v>
      </c>
      <c r="B292" s="92" t="s">
        <v>710</v>
      </c>
      <c r="C292" s="92" t="s">
        <v>96</v>
      </c>
      <c r="D292" s="92" t="s">
        <v>724</v>
      </c>
      <c r="E292" s="92" t="s">
        <v>1082</v>
      </c>
      <c r="F292" s="92" t="s">
        <v>1400</v>
      </c>
      <c r="G292" s="92"/>
      <c r="H292" s="92">
        <v>43</v>
      </c>
      <c r="I292" s="92">
        <v>0</v>
      </c>
      <c r="J292" s="92">
        <v>233</v>
      </c>
      <c r="K292" s="93">
        <v>29144</v>
      </c>
      <c r="L292" s="93">
        <f t="shared" si="4"/>
        <v>6790552</v>
      </c>
      <c r="M292" s="92" t="s">
        <v>692</v>
      </c>
      <c r="N292" s="92" t="s">
        <v>742</v>
      </c>
      <c r="O292" s="95" t="s">
        <v>694</v>
      </c>
    </row>
    <row r="293" spans="1:15" ht="15" customHeight="1" x14ac:dyDescent="0.25">
      <c r="A293" s="91" t="s">
        <v>1401</v>
      </c>
      <c r="B293" s="92" t="s">
        <v>730</v>
      </c>
      <c r="C293" s="92" t="s">
        <v>131</v>
      </c>
      <c r="D293" s="92" t="s">
        <v>689</v>
      </c>
      <c r="E293" s="92" t="s">
        <v>1402</v>
      </c>
      <c r="F293" s="92" t="s">
        <v>1403</v>
      </c>
      <c r="G293" s="92" t="s">
        <v>1403</v>
      </c>
      <c r="H293" s="92">
        <v>29</v>
      </c>
      <c r="I293" s="92">
        <v>0</v>
      </c>
      <c r="J293" s="92">
        <v>367</v>
      </c>
      <c r="K293" s="93">
        <v>48899</v>
      </c>
      <c r="L293" s="93">
        <f t="shared" si="4"/>
        <v>17945933</v>
      </c>
      <c r="M293" s="94" t="s">
        <v>727</v>
      </c>
      <c r="N293" s="92" t="s">
        <v>742</v>
      </c>
      <c r="O293" s="96" t="s">
        <v>728</v>
      </c>
    </row>
    <row r="294" spans="1:15" ht="15" customHeight="1" x14ac:dyDescent="0.25">
      <c r="A294" s="91" t="s">
        <v>1404</v>
      </c>
      <c r="B294" s="92" t="s">
        <v>739</v>
      </c>
      <c r="C294" s="92" t="s">
        <v>51</v>
      </c>
      <c r="D294" s="92" t="s">
        <v>689</v>
      </c>
      <c r="E294" s="92" t="s">
        <v>1302</v>
      </c>
      <c r="F294" s="92" t="s">
        <v>1405</v>
      </c>
      <c r="G294" s="92" t="s">
        <v>1405</v>
      </c>
      <c r="H294" s="92">
        <v>13</v>
      </c>
      <c r="I294" s="92">
        <v>0</v>
      </c>
      <c r="J294" s="92">
        <v>399</v>
      </c>
      <c r="K294" s="93">
        <v>31027</v>
      </c>
      <c r="L294" s="93">
        <f t="shared" si="4"/>
        <v>12379773</v>
      </c>
      <c r="M294" s="94" t="s">
        <v>727</v>
      </c>
      <c r="N294" s="92" t="s">
        <v>714</v>
      </c>
      <c r="O294" s="96" t="s">
        <v>728</v>
      </c>
    </row>
    <row r="295" spans="1:15" ht="15" customHeight="1" x14ac:dyDescent="0.25">
      <c r="A295" s="91" t="s">
        <v>1406</v>
      </c>
      <c r="B295" s="92" t="s">
        <v>780</v>
      </c>
      <c r="C295" s="92" t="s">
        <v>86</v>
      </c>
      <c r="D295" s="92" t="s">
        <v>787</v>
      </c>
      <c r="E295" s="92" t="s">
        <v>885</v>
      </c>
      <c r="F295" s="92" t="s">
        <v>1407</v>
      </c>
      <c r="G295" s="92" t="s">
        <v>1407</v>
      </c>
      <c r="H295" s="92">
        <v>33</v>
      </c>
      <c r="I295" s="92">
        <v>0</v>
      </c>
      <c r="J295" s="92">
        <v>67</v>
      </c>
      <c r="K295" s="93">
        <v>40743</v>
      </c>
      <c r="L295" s="93">
        <f t="shared" si="4"/>
        <v>2729781</v>
      </c>
      <c r="M295" s="94" t="s">
        <v>727</v>
      </c>
      <c r="N295" s="92" t="s">
        <v>708</v>
      </c>
      <c r="O295" s="96" t="s">
        <v>728</v>
      </c>
    </row>
    <row r="296" spans="1:15" ht="15" customHeight="1" x14ac:dyDescent="0.25">
      <c r="A296" s="91" t="s">
        <v>1408</v>
      </c>
      <c r="B296" s="92" t="s">
        <v>696</v>
      </c>
      <c r="C296" s="92" t="s">
        <v>96</v>
      </c>
      <c r="D296" s="92" t="s">
        <v>705</v>
      </c>
      <c r="E296" s="92" t="s">
        <v>1409</v>
      </c>
      <c r="F296" s="92" t="s">
        <v>1014</v>
      </c>
      <c r="G296" s="92" t="s">
        <v>1014</v>
      </c>
      <c r="H296" s="92">
        <v>40</v>
      </c>
      <c r="I296" s="92">
        <v>0</v>
      </c>
      <c r="J296" s="92">
        <v>203</v>
      </c>
      <c r="K296" s="93">
        <v>74185</v>
      </c>
      <c r="L296" s="93">
        <f t="shared" si="4"/>
        <v>15059555</v>
      </c>
      <c r="M296" s="94" t="s">
        <v>727</v>
      </c>
      <c r="N296" s="92" t="s">
        <v>693</v>
      </c>
      <c r="O296" s="96" t="s">
        <v>728</v>
      </c>
    </row>
    <row r="297" spans="1:15" ht="15" customHeight="1" x14ac:dyDescent="0.25">
      <c r="A297" s="91" t="s">
        <v>1410</v>
      </c>
      <c r="B297" s="92" t="s">
        <v>710</v>
      </c>
      <c r="C297" s="92" t="s">
        <v>96</v>
      </c>
      <c r="D297" s="92" t="s">
        <v>787</v>
      </c>
      <c r="E297" s="92" t="s">
        <v>1411</v>
      </c>
      <c r="F297" s="92" t="s">
        <v>1320</v>
      </c>
      <c r="G297" s="92"/>
      <c r="H297" s="92">
        <v>35</v>
      </c>
      <c r="I297" s="92">
        <v>0</v>
      </c>
      <c r="J297" s="92">
        <v>486</v>
      </c>
      <c r="K297" s="93">
        <v>41866</v>
      </c>
      <c r="L297" s="93">
        <f t="shared" si="4"/>
        <v>20346876</v>
      </c>
      <c r="M297" s="92" t="s">
        <v>692</v>
      </c>
      <c r="N297" s="92" t="s">
        <v>708</v>
      </c>
      <c r="O297" s="95" t="s">
        <v>694</v>
      </c>
    </row>
    <row r="298" spans="1:15" ht="15" customHeight="1" x14ac:dyDescent="0.25">
      <c r="A298" s="91" t="s">
        <v>1412</v>
      </c>
      <c r="B298" s="92" t="s">
        <v>780</v>
      </c>
      <c r="C298" s="92" t="s">
        <v>86</v>
      </c>
      <c r="D298" s="92" t="s">
        <v>711</v>
      </c>
      <c r="E298" s="92" t="s">
        <v>967</v>
      </c>
      <c r="F298" s="92" t="s">
        <v>1413</v>
      </c>
      <c r="G298" s="92" t="s">
        <v>1413</v>
      </c>
      <c r="H298" s="92">
        <v>39</v>
      </c>
      <c r="I298" s="92">
        <v>0</v>
      </c>
      <c r="J298" s="92">
        <v>496</v>
      </c>
      <c r="K298" s="93">
        <v>60032</v>
      </c>
      <c r="L298" s="93">
        <f t="shared" si="4"/>
        <v>29775872</v>
      </c>
      <c r="M298" s="94" t="s">
        <v>727</v>
      </c>
      <c r="N298" s="92" t="s">
        <v>693</v>
      </c>
      <c r="O298" s="96" t="s">
        <v>728</v>
      </c>
    </row>
    <row r="299" spans="1:15" ht="15" customHeight="1" x14ac:dyDescent="0.25">
      <c r="A299" s="91" t="s">
        <v>1414</v>
      </c>
      <c r="B299" s="92" t="s">
        <v>696</v>
      </c>
      <c r="C299" s="92" t="s">
        <v>96</v>
      </c>
      <c r="D299" s="92" t="s">
        <v>689</v>
      </c>
      <c r="E299" s="92" t="s">
        <v>1415</v>
      </c>
      <c r="F299" s="92" t="s">
        <v>888</v>
      </c>
      <c r="G299" s="92" t="s">
        <v>888</v>
      </c>
      <c r="H299" s="92">
        <v>36</v>
      </c>
      <c r="I299" s="92">
        <v>0</v>
      </c>
      <c r="J299" s="92">
        <v>287</v>
      </c>
      <c r="K299" s="93">
        <v>31709</v>
      </c>
      <c r="L299" s="93">
        <f t="shared" si="4"/>
        <v>9100483</v>
      </c>
      <c r="M299" s="94" t="s">
        <v>727</v>
      </c>
      <c r="N299" s="92" t="s">
        <v>714</v>
      </c>
      <c r="O299" s="96" t="s">
        <v>728</v>
      </c>
    </row>
    <row r="300" spans="1:15" ht="15" customHeight="1" x14ac:dyDescent="0.25">
      <c r="A300" s="91" t="s">
        <v>1416</v>
      </c>
      <c r="B300" s="92" t="s">
        <v>730</v>
      </c>
      <c r="C300" s="92" t="s">
        <v>131</v>
      </c>
      <c r="D300" s="92" t="s">
        <v>787</v>
      </c>
      <c r="E300" s="92" t="s">
        <v>1391</v>
      </c>
      <c r="F300" s="92" t="s">
        <v>747</v>
      </c>
      <c r="G300" s="92" t="s">
        <v>747</v>
      </c>
      <c r="H300" s="92">
        <v>14</v>
      </c>
      <c r="I300" s="92">
        <v>0</v>
      </c>
      <c r="J300" s="92">
        <v>268</v>
      </c>
      <c r="K300" s="93">
        <v>13454</v>
      </c>
      <c r="L300" s="93">
        <f t="shared" si="4"/>
        <v>3605672</v>
      </c>
      <c r="M300" s="94" t="s">
        <v>727</v>
      </c>
      <c r="N300" s="92" t="s">
        <v>701</v>
      </c>
      <c r="O300" s="96" t="s">
        <v>728</v>
      </c>
    </row>
    <row r="301" spans="1:15" ht="15" customHeight="1" x14ac:dyDescent="0.25">
      <c r="A301" s="91" t="s">
        <v>1417</v>
      </c>
      <c r="B301" s="92" t="s">
        <v>703</v>
      </c>
      <c r="C301" s="92" t="s">
        <v>704</v>
      </c>
      <c r="D301" s="92" t="s">
        <v>705</v>
      </c>
      <c r="E301" s="92" t="s">
        <v>1418</v>
      </c>
      <c r="F301" s="92" t="s">
        <v>1419</v>
      </c>
      <c r="G301" s="92" t="s">
        <v>1419</v>
      </c>
      <c r="H301" s="92">
        <v>26</v>
      </c>
      <c r="I301" s="92">
        <v>0</v>
      </c>
      <c r="J301" s="92">
        <v>73</v>
      </c>
      <c r="K301" s="93">
        <v>66730</v>
      </c>
      <c r="L301" s="93">
        <f t="shared" si="4"/>
        <v>4871290</v>
      </c>
      <c r="M301" s="94" t="s">
        <v>727</v>
      </c>
      <c r="N301" s="92" t="s">
        <v>708</v>
      </c>
      <c r="O301" s="96" t="s">
        <v>728</v>
      </c>
    </row>
    <row r="302" spans="1:15" ht="15" customHeight="1" x14ac:dyDescent="0.25">
      <c r="A302" s="91" t="s">
        <v>1420</v>
      </c>
      <c r="B302" s="92" t="s">
        <v>735</v>
      </c>
      <c r="C302" s="92" t="s">
        <v>51</v>
      </c>
      <c r="D302" s="92" t="s">
        <v>724</v>
      </c>
      <c r="E302" s="92" t="s">
        <v>1421</v>
      </c>
      <c r="F302" s="92" t="s">
        <v>726</v>
      </c>
      <c r="G302" s="92" t="s">
        <v>726</v>
      </c>
      <c r="H302" s="92">
        <v>25</v>
      </c>
      <c r="I302" s="92">
        <v>0</v>
      </c>
      <c r="J302" s="92">
        <v>2</v>
      </c>
      <c r="K302" s="93">
        <v>10837</v>
      </c>
      <c r="L302" s="93">
        <f t="shared" si="4"/>
        <v>21674</v>
      </c>
      <c r="M302" s="94" t="s">
        <v>727</v>
      </c>
      <c r="N302" s="92" t="s">
        <v>701</v>
      </c>
      <c r="O302" s="96" t="s">
        <v>728</v>
      </c>
    </row>
    <row r="303" spans="1:15" ht="15" customHeight="1" x14ac:dyDescent="0.25">
      <c r="A303" s="91" t="s">
        <v>1422</v>
      </c>
      <c r="B303" s="92" t="s">
        <v>696</v>
      </c>
      <c r="C303" s="92" t="s">
        <v>96</v>
      </c>
      <c r="D303" s="92" t="s">
        <v>731</v>
      </c>
      <c r="E303" s="92" t="s">
        <v>1423</v>
      </c>
      <c r="F303" s="92" t="s">
        <v>1424</v>
      </c>
      <c r="G303" s="92" t="s">
        <v>1424</v>
      </c>
      <c r="H303" s="92">
        <v>33</v>
      </c>
      <c r="I303" s="92">
        <v>0</v>
      </c>
      <c r="J303" s="92">
        <v>461</v>
      </c>
      <c r="K303" s="93">
        <v>29046</v>
      </c>
      <c r="L303" s="93">
        <f t="shared" si="4"/>
        <v>13390206</v>
      </c>
      <c r="M303" s="94" t="s">
        <v>727</v>
      </c>
      <c r="N303" s="92" t="s">
        <v>708</v>
      </c>
      <c r="O303" s="96" t="s">
        <v>728</v>
      </c>
    </row>
    <row r="304" spans="1:15" ht="15" customHeight="1" x14ac:dyDescent="0.25">
      <c r="A304" s="91" t="s">
        <v>1425</v>
      </c>
      <c r="B304" s="92" t="s">
        <v>710</v>
      </c>
      <c r="C304" s="92" t="s">
        <v>96</v>
      </c>
      <c r="D304" s="92" t="s">
        <v>711</v>
      </c>
      <c r="E304" s="92" t="s">
        <v>424</v>
      </c>
      <c r="F304" s="92" t="s">
        <v>1259</v>
      </c>
      <c r="G304" s="92" t="s">
        <v>1259</v>
      </c>
      <c r="H304" s="92">
        <v>15</v>
      </c>
      <c r="I304" s="92">
        <v>0</v>
      </c>
      <c r="J304" s="92">
        <v>342</v>
      </c>
      <c r="K304" s="93">
        <v>38447</v>
      </c>
      <c r="L304" s="93">
        <f t="shared" si="4"/>
        <v>13148874</v>
      </c>
      <c r="M304" s="94" t="s">
        <v>727</v>
      </c>
      <c r="N304" s="92" t="s">
        <v>701</v>
      </c>
      <c r="O304" s="96" t="s">
        <v>728</v>
      </c>
    </row>
    <row r="305" spans="1:15" ht="15" customHeight="1" x14ac:dyDescent="0.25">
      <c r="A305" s="91" t="s">
        <v>1426</v>
      </c>
      <c r="B305" s="92" t="s">
        <v>696</v>
      </c>
      <c r="C305" s="92" t="s">
        <v>96</v>
      </c>
      <c r="D305" s="92" t="s">
        <v>787</v>
      </c>
      <c r="E305" s="92" t="s">
        <v>1379</v>
      </c>
      <c r="F305" s="92" t="s">
        <v>1427</v>
      </c>
      <c r="G305" s="92" t="s">
        <v>1427</v>
      </c>
      <c r="H305" s="92">
        <v>31</v>
      </c>
      <c r="I305" s="92">
        <v>0</v>
      </c>
      <c r="J305" s="92">
        <v>24</v>
      </c>
      <c r="K305" s="93">
        <v>81458</v>
      </c>
      <c r="L305" s="93">
        <f t="shared" si="4"/>
        <v>1954992</v>
      </c>
      <c r="M305" s="94" t="s">
        <v>727</v>
      </c>
      <c r="N305" s="92" t="s">
        <v>708</v>
      </c>
      <c r="O305" s="96" t="s">
        <v>728</v>
      </c>
    </row>
    <row r="306" spans="1:15" ht="15" customHeight="1" x14ac:dyDescent="0.25">
      <c r="A306" s="91" t="s">
        <v>1428</v>
      </c>
      <c r="B306" s="92" t="s">
        <v>703</v>
      </c>
      <c r="C306" s="92" t="s">
        <v>704</v>
      </c>
      <c r="D306" s="92" t="s">
        <v>716</v>
      </c>
      <c r="E306" s="92" t="s">
        <v>1051</v>
      </c>
      <c r="F306" s="92" t="s">
        <v>1002</v>
      </c>
      <c r="G306" s="92"/>
      <c r="H306" s="92">
        <v>17</v>
      </c>
      <c r="I306" s="92">
        <v>0</v>
      </c>
      <c r="J306" s="92">
        <v>293</v>
      </c>
      <c r="K306" s="93">
        <v>53744</v>
      </c>
      <c r="L306" s="93">
        <f t="shared" si="4"/>
        <v>15746992</v>
      </c>
      <c r="M306" s="92" t="s">
        <v>692</v>
      </c>
      <c r="N306" s="92" t="s">
        <v>701</v>
      </c>
      <c r="O306" s="95" t="s">
        <v>694</v>
      </c>
    </row>
    <row r="307" spans="1:15" ht="15" customHeight="1" x14ac:dyDescent="0.25">
      <c r="A307" s="91" t="s">
        <v>1429</v>
      </c>
      <c r="B307" s="92" t="s">
        <v>688</v>
      </c>
      <c r="C307" s="92" t="s">
        <v>68</v>
      </c>
      <c r="D307" s="92" t="s">
        <v>716</v>
      </c>
      <c r="E307" s="92" t="s">
        <v>1430</v>
      </c>
      <c r="F307" s="92" t="s">
        <v>877</v>
      </c>
      <c r="G307" s="92" t="s">
        <v>877</v>
      </c>
      <c r="H307" s="92">
        <v>42</v>
      </c>
      <c r="I307" s="92">
        <v>0</v>
      </c>
      <c r="J307" s="92">
        <v>388</v>
      </c>
      <c r="K307" s="93">
        <v>4968</v>
      </c>
      <c r="L307" s="93">
        <f t="shared" si="4"/>
        <v>1927584</v>
      </c>
      <c r="M307" s="94" t="s">
        <v>727</v>
      </c>
      <c r="N307" s="92" t="s">
        <v>693</v>
      </c>
      <c r="O307" s="96" t="s">
        <v>728</v>
      </c>
    </row>
    <row r="308" spans="1:15" ht="15" customHeight="1" x14ac:dyDescent="0.25">
      <c r="A308" s="91" t="s">
        <v>1431</v>
      </c>
      <c r="B308" s="92" t="s">
        <v>688</v>
      </c>
      <c r="C308" s="92" t="s">
        <v>68</v>
      </c>
      <c r="D308" s="92" t="s">
        <v>689</v>
      </c>
      <c r="E308" s="92" t="s">
        <v>1427</v>
      </c>
      <c r="F308" s="92" t="s">
        <v>1403</v>
      </c>
      <c r="G308" s="92" t="s">
        <v>1403</v>
      </c>
      <c r="H308" s="92">
        <v>37</v>
      </c>
      <c r="I308" s="92">
        <v>0</v>
      </c>
      <c r="J308" s="92">
        <v>480</v>
      </c>
      <c r="K308" s="93">
        <v>45442</v>
      </c>
      <c r="L308" s="93">
        <f t="shared" si="4"/>
        <v>21812160</v>
      </c>
      <c r="M308" s="94" t="s">
        <v>727</v>
      </c>
      <c r="N308" s="92" t="s">
        <v>714</v>
      </c>
      <c r="O308" s="96" t="s">
        <v>728</v>
      </c>
    </row>
    <row r="309" spans="1:15" ht="15" customHeight="1" x14ac:dyDescent="0.25">
      <c r="A309" s="91" t="s">
        <v>1432</v>
      </c>
      <c r="B309" s="92" t="s">
        <v>703</v>
      </c>
      <c r="C309" s="92" t="s">
        <v>704</v>
      </c>
      <c r="D309" s="92" t="s">
        <v>689</v>
      </c>
      <c r="E309" s="92" t="s">
        <v>834</v>
      </c>
      <c r="F309" s="92" t="s">
        <v>1433</v>
      </c>
      <c r="G309" s="92"/>
      <c r="H309" s="92">
        <v>22</v>
      </c>
      <c r="I309" s="92">
        <v>0</v>
      </c>
      <c r="J309" s="92">
        <v>430</v>
      </c>
      <c r="K309" s="93">
        <v>75507</v>
      </c>
      <c r="L309" s="93">
        <f t="shared" si="4"/>
        <v>32468010</v>
      </c>
      <c r="M309" s="92" t="s">
        <v>692</v>
      </c>
      <c r="N309" s="92" t="s">
        <v>708</v>
      </c>
      <c r="O309" s="95" t="s">
        <v>694</v>
      </c>
    </row>
    <row r="310" spans="1:15" ht="15" customHeight="1" x14ac:dyDescent="0.25">
      <c r="A310" s="91" t="s">
        <v>1434</v>
      </c>
      <c r="B310" s="92" t="s">
        <v>696</v>
      </c>
      <c r="C310" s="92" t="s">
        <v>96</v>
      </c>
      <c r="D310" s="92" t="s">
        <v>705</v>
      </c>
      <c r="E310" s="92" t="s">
        <v>950</v>
      </c>
      <c r="F310" s="92" t="s">
        <v>754</v>
      </c>
      <c r="G310" s="92" t="s">
        <v>754</v>
      </c>
      <c r="H310" s="92">
        <v>32</v>
      </c>
      <c r="I310" s="92">
        <v>0</v>
      </c>
      <c r="J310" s="92">
        <v>12</v>
      </c>
      <c r="K310" s="93">
        <v>29226</v>
      </c>
      <c r="L310" s="93">
        <f t="shared" si="4"/>
        <v>350712</v>
      </c>
      <c r="M310" s="94" t="s">
        <v>727</v>
      </c>
      <c r="N310" s="92" t="s">
        <v>742</v>
      </c>
      <c r="O310" s="96" t="s">
        <v>728</v>
      </c>
    </row>
    <row r="311" spans="1:15" ht="15" customHeight="1" x14ac:dyDescent="0.25">
      <c r="A311" s="91" t="s">
        <v>1435</v>
      </c>
      <c r="B311" s="92" t="s">
        <v>739</v>
      </c>
      <c r="C311" s="92" t="s">
        <v>51</v>
      </c>
      <c r="D311" s="92" t="s">
        <v>731</v>
      </c>
      <c r="E311" s="92" t="s">
        <v>758</v>
      </c>
      <c r="F311" s="92" t="s">
        <v>1436</v>
      </c>
      <c r="G311" s="92" t="s">
        <v>1436</v>
      </c>
      <c r="H311" s="92">
        <v>40</v>
      </c>
      <c r="I311" s="92">
        <v>0</v>
      </c>
      <c r="J311" s="92">
        <v>51</v>
      </c>
      <c r="K311" s="93">
        <v>46280</v>
      </c>
      <c r="L311" s="93">
        <f t="shared" si="4"/>
        <v>2360280</v>
      </c>
      <c r="M311" s="94" t="s">
        <v>727</v>
      </c>
      <c r="N311" s="92" t="s">
        <v>701</v>
      </c>
      <c r="O311" s="96" t="s">
        <v>728</v>
      </c>
    </row>
    <row r="312" spans="1:15" ht="15" customHeight="1" x14ac:dyDescent="0.25">
      <c r="A312" s="91" t="s">
        <v>1437</v>
      </c>
      <c r="B312" s="92" t="s">
        <v>780</v>
      </c>
      <c r="C312" s="92" t="s">
        <v>86</v>
      </c>
      <c r="D312" s="92" t="s">
        <v>711</v>
      </c>
      <c r="E312" s="92" t="s">
        <v>1438</v>
      </c>
      <c r="F312" s="92" t="s">
        <v>1439</v>
      </c>
      <c r="G312" s="92"/>
      <c r="H312" s="92">
        <v>23</v>
      </c>
      <c r="I312" s="92">
        <v>0</v>
      </c>
      <c r="J312" s="92">
        <v>79</v>
      </c>
      <c r="K312" s="93">
        <v>26424</v>
      </c>
      <c r="L312" s="93">
        <f t="shared" si="4"/>
        <v>2087496</v>
      </c>
      <c r="M312" s="92" t="s">
        <v>692</v>
      </c>
      <c r="N312" s="92" t="s">
        <v>708</v>
      </c>
      <c r="O312" s="95" t="s">
        <v>694</v>
      </c>
    </row>
    <row r="313" spans="1:15" ht="15" customHeight="1" x14ac:dyDescent="0.25">
      <c r="A313" s="91" t="s">
        <v>1440</v>
      </c>
      <c r="B313" s="92" t="s">
        <v>780</v>
      </c>
      <c r="C313" s="92" t="s">
        <v>86</v>
      </c>
      <c r="D313" s="92" t="s">
        <v>731</v>
      </c>
      <c r="E313" s="92" t="s">
        <v>1441</v>
      </c>
      <c r="F313" s="92" t="s">
        <v>1442</v>
      </c>
      <c r="G313" s="92" t="s">
        <v>1442</v>
      </c>
      <c r="H313" s="92">
        <v>27</v>
      </c>
      <c r="I313" s="92">
        <v>0</v>
      </c>
      <c r="J313" s="92">
        <v>200</v>
      </c>
      <c r="K313" s="93">
        <v>8844</v>
      </c>
      <c r="L313" s="93">
        <f t="shared" si="4"/>
        <v>1768800</v>
      </c>
      <c r="M313" s="94" t="s">
        <v>727</v>
      </c>
      <c r="N313" s="92" t="s">
        <v>742</v>
      </c>
      <c r="O313" s="96" t="s">
        <v>728</v>
      </c>
    </row>
    <row r="314" spans="1:15" ht="15" customHeight="1" x14ac:dyDescent="0.25">
      <c r="A314" s="91" t="s">
        <v>1443</v>
      </c>
      <c r="B314" s="92" t="s">
        <v>739</v>
      </c>
      <c r="C314" s="92" t="s">
        <v>51</v>
      </c>
      <c r="D314" s="92" t="s">
        <v>705</v>
      </c>
      <c r="E314" s="92" t="s">
        <v>803</v>
      </c>
      <c r="F314" s="92" t="s">
        <v>1444</v>
      </c>
      <c r="G314" s="92" t="s">
        <v>1444</v>
      </c>
      <c r="H314" s="92">
        <v>23</v>
      </c>
      <c r="I314" s="92">
        <v>0</v>
      </c>
      <c r="J314" s="92">
        <v>27</v>
      </c>
      <c r="K314" s="93">
        <v>17616</v>
      </c>
      <c r="L314" s="93">
        <f t="shared" si="4"/>
        <v>475632</v>
      </c>
      <c r="M314" s="94" t="s">
        <v>727</v>
      </c>
      <c r="N314" s="92" t="s">
        <v>693</v>
      </c>
      <c r="O314" s="96" t="s">
        <v>728</v>
      </c>
    </row>
    <row r="315" spans="1:15" ht="15" customHeight="1" x14ac:dyDescent="0.25">
      <c r="A315" s="91" t="s">
        <v>1445</v>
      </c>
      <c r="B315" s="92" t="s">
        <v>730</v>
      </c>
      <c r="C315" s="92" t="s">
        <v>131</v>
      </c>
      <c r="D315" s="92" t="s">
        <v>689</v>
      </c>
      <c r="E315" s="92" t="s">
        <v>1271</v>
      </c>
      <c r="F315" s="92" t="s">
        <v>1446</v>
      </c>
      <c r="G315" s="92" t="s">
        <v>1446</v>
      </c>
      <c r="H315" s="92">
        <v>38</v>
      </c>
      <c r="I315" s="92">
        <v>0</v>
      </c>
      <c r="J315" s="92">
        <v>59</v>
      </c>
      <c r="K315" s="93">
        <v>23255</v>
      </c>
      <c r="L315" s="93">
        <f t="shared" si="4"/>
        <v>1372045</v>
      </c>
      <c r="M315" s="94" t="s">
        <v>727</v>
      </c>
      <c r="N315" s="92" t="s">
        <v>701</v>
      </c>
      <c r="O315" s="96" t="s">
        <v>728</v>
      </c>
    </row>
    <row r="316" spans="1:15" ht="15" customHeight="1" x14ac:dyDescent="0.25">
      <c r="A316" s="91" t="s">
        <v>1447</v>
      </c>
      <c r="B316" s="92" t="s">
        <v>710</v>
      </c>
      <c r="C316" s="92" t="s">
        <v>96</v>
      </c>
      <c r="D316" s="92" t="s">
        <v>787</v>
      </c>
      <c r="E316" s="92" t="s">
        <v>803</v>
      </c>
      <c r="F316" s="92" t="s">
        <v>1358</v>
      </c>
      <c r="G316" s="92" t="s">
        <v>1358</v>
      </c>
      <c r="H316" s="92">
        <v>11</v>
      </c>
      <c r="I316" s="92">
        <v>0</v>
      </c>
      <c r="J316" s="92">
        <v>468</v>
      </c>
      <c r="K316" s="93">
        <v>75380</v>
      </c>
      <c r="L316" s="93">
        <f t="shared" si="4"/>
        <v>35277840</v>
      </c>
      <c r="M316" s="94" t="s">
        <v>727</v>
      </c>
      <c r="N316" s="92" t="s">
        <v>701</v>
      </c>
      <c r="O316" s="96" t="s">
        <v>728</v>
      </c>
    </row>
    <row r="317" spans="1:15" ht="15" customHeight="1" x14ac:dyDescent="0.25">
      <c r="A317" s="91" t="s">
        <v>1448</v>
      </c>
      <c r="B317" s="92" t="s">
        <v>688</v>
      </c>
      <c r="C317" s="92" t="s">
        <v>68</v>
      </c>
      <c r="D317" s="92" t="s">
        <v>716</v>
      </c>
      <c r="E317" s="92" t="s">
        <v>1179</v>
      </c>
      <c r="F317" s="92" t="s">
        <v>1449</v>
      </c>
      <c r="G317" s="92"/>
      <c r="H317" s="92">
        <v>22</v>
      </c>
      <c r="I317" s="92">
        <v>0</v>
      </c>
      <c r="J317" s="92">
        <v>334</v>
      </c>
      <c r="K317" s="93">
        <v>66851</v>
      </c>
      <c r="L317" s="93">
        <f t="shared" si="4"/>
        <v>22328234</v>
      </c>
      <c r="M317" s="92" t="s">
        <v>692</v>
      </c>
      <c r="N317" s="92" t="s">
        <v>701</v>
      </c>
      <c r="O317" s="95" t="s">
        <v>694</v>
      </c>
    </row>
    <row r="318" spans="1:15" ht="15" customHeight="1" x14ac:dyDescent="0.25">
      <c r="A318" s="91" t="s">
        <v>1450</v>
      </c>
      <c r="B318" s="92" t="s">
        <v>730</v>
      </c>
      <c r="C318" s="92" t="s">
        <v>131</v>
      </c>
      <c r="D318" s="92" t="s">
        <v>787</v>
      </c>
      <c r="E318" s="92" t="s">
        <v>973</v>
      </c>
      <c r="F318" s="92" t="s">
        <v>1451</v>
      </c>
      <c r="G318" s="92" t="s">
        <v>1451</v>
      </c>
      <c r="H318" s="92">
        <v>35</v>
      </c>
      <c r="I318" s="92">
        <v>0</v>
      </c>
      <c r="J318" s="92">
        <v>401</v>
      </c>
      <c r="K318" s="93">
        <v>82289</v>
      </c>
      <c r="L318" s="93">
        <f t="shared" si="4"/>
        <v>32997889</v>
      </c>
      <c r="M318" s="94" t="s">
        <v>727</v>
      </c>
      <c r="N318" s="92" t="s">
        <v>701</v>
      </c>
      <c r="O318" s="96" t="s">
        <v>728</v>
      </c>
    </row>
    <row r="319" spans="1:15" ht="15" customHeight="1" x14ac:dyDescent="0.25">
      <c r="A319" s="91" t="s">
        <v>1452</v>
      </c>
      <c r="B319" s="92" t="s">
        <v>688</v>
      </c>
      <c r="C319" s="92" t="s">
        <v>68</v>
      </c>
      <c r="D319" s="92" t="s">
        <v>711</v>
      </c>
      <c r="E319" s="92" t="s">
        <v>1453</v>
      </c>
      <c r="F319" s="92" t="s">
        <v>1454</v>
      </c>
      <c r="G319" s="92" t="s">
        <v>1080</v>
      </c>
      <c r="H319" s="92">
        <v>22</v>
      </c>
      <c r="I319" s="92">
        <v>7</v>
      </c>
      <c r="J319" s="92">
        <v>285</v>
      </c>
      <c r="K319" s="93">
        <v>38672</v>
      </c>
      <c r="L319" s="93">
        <f t="shared" si="4"/>
        <v>11021520</v>
      </c>
      <c r="M319" s="94" t="s">
        <v>727</v>
      </c>
      <c r="N319" s="92" t="s">
        <v>714</v>
      </c>
      <c r="O319" s="96" t="s">
        <v>778</v>
      </c>
    </row>
    <row r="320" spans="1:15" ht="15" customHeight="1" x14ac:dyDescent="0.25">
      <c r="A320" s="91" t="s">
        <v>1455</v>
      </c>
      <c r="B320" s="92" t="s">
        <v>710</v>
      </c>
      <c r="C320" s="92" t="s">
        <v>96</v>
      </c>
      <c r="D320" s="92" t="s">
        <v>724</v>
      </c>
      <c r="E320" s="92" t="s">
        <v>1456</v>
      </c>
      <c r="F320" s="92" t="s">
        <v>1457</v>
      </c>
      <c r="G320" s="92" t="s">
        <v>1457</v>
      </c>
      <c r="H320" s="92">
        <v>17</v>
      </c>
      <c r="I320" s="92">
        <v>0</v>
      </c>
      <c r="J320" s="92">
        <v>129</v>
      </c>
      <c r="K320" s="93">
        <v>71437</v>
      </c>
      <c r="L320" s="93">
        <f t="shared" si="4"/>
        <v>9215373</v>
      </c>
      <c r="M320" s="94" t="s">
        <v>727</v>
      </c>
      <c r="N320" s="92" t="s">
        <v>708</v>
      </c>
      <c r="O320" s="96" t="s">
        <v>728</v>
      </c>
    </row>
    <row r="321" spans="1:15" ht="15" customHeight="1" x14ac:dyDescent="0.25">
      <c r="A321" s="91" t="s">
        <v>1458</v>
      </c>
      <c r="B321" s="92" t="s">
        <v>720</v>
      </c>
      <c r="C321" s="92" t="s">
        <v>103</v>
      </c>
      <c r="D321" s="92" t="s">
        <v>689</v>
      </c>
      <c r="E321" s="92" t="s">
        <v>1459</v>
      </c>
      <c r="F321" s="92" t="s">
        <v>1460</v>
      </c>
      <c r="G321" s="92"/>
      <c r="H321" s="92">
        <v>44</v>
      </c>
      <c r="I321" s="92">
        <v>0</v>
      </c>
      <c r="J321" s="92">
        <v>145</v>
      </c>
      <c r="K321" s="93">
        <v>4343</v>
      </c>
      <c r="L321" s="93">
        <f t="shared" si="4"/>
        <v>629735</v>
      </c>
      <c r="M321" s="94" t="s">
        <v>759</v>
      </c>
      <c r="N321" s="92" t="s">
        <v>693</v>
      </c>
      <c r="O321" s="95" t="s">
        <v>694</v>
      </c>
    </row>
    <row r="322" spans="1:15" ht="15" customHeight="1" x14ac:dyDescent="0.25">
      <c r="A322" s="91" t="s">
        <v>1461</v>
      </c>
      <c r="B322" s="92" t="s">
        <v>730</v>
      </c>
      <c r="C322" s="92" t="s">
        <v>131</v>
      </c>
      <c r="D322" s="92" t="s">
        <v>716</v>
      </c>
      <c r="E322" s="92" t="s">
        <v>1129</v>
      </c>
      <c r="F322" s="92" t="s">
        <v>1462</v>
      </c>
      <c r="G322" s="92" t="s">
        <v>1462</v>
      </c>
      <c r="H322" s="92">
        <v>26</v>
      </c>
      <c r="I322" s="92">
        <v>0</v>
      </c>
      <c r="J322" s="92">
        <v>72</v>
      </c>
      <c r="K322" s="93">
        <v>61769</v>
      </c>
      <c r="L322" s="93">
        <f t="shared" ref="L322:L385" si="5">J322*K322</f>
        <v>4447368</v>
      </c>
      <c r="M322" s="94" t="s">
        <v>727</v>
      </c>
      <c r="N322" s="92" t="s">
        <v>701</v>
      </c>
      <c r="O322" s="96" t="s">
        <v>728</v>
      </c>
    </row>
    <row r="323" spans="1:15" ht="15" customHeight="1" x14ac:dyDescent="0.25">
      <c r="A323" s="91" t="s">
        <v>1463</v>
      </c>
      <c r="B323" s="92" t="s">
        <v>739</v>
      </c>
      <c r="C323" s="92" t="s">
        <v>51</v>
      </c>
      <c r="D323" s="92" t="s">
        <v>689</v>
      </c>
      <c r="E323" s="92" t="s">
        <v>319</v>
      </c>
      <c r="F323" s="92" t="s">
        <v>402</v>
      </c>
      <c r="G323" s="92"/>
      <c r="H323" s="92">
        <v>39</v>
      </c>
      <c r="I323" s="92">
        <v>13</v>
      </c>
      <c r="J323" s="92">
        <v>453</v>
      </c>
      <c r="K323" s="93">
        <v>58138</v>
      </c>
      <c r="L323" s="93">
        <f t="shared" si="5"/>
        <v>26336514</v>
      </c>
      <c r="M323" s="94" t="s">
        <v>700</v>
      </c>
      <c r="N323" s="92" t="s">
        <v>701</v>
      </c>
      <c r="O323" s="95" t="s">
        <v>694</v>
      </c>
    </row>
    <row r="324" spans="1:15" ht="15" customHeight="1" x14ac:dyDescent="0.25">
      <c r="A324" s="91" t="s">
        <v>1464</v>
      </c>
      <c r="B324" s="92" t="s">
        <v>703</v>
      </c>
      <c r="C324" s="92" t="s">
        <v>704</v>
      </c>
      <c r="D324" s="92" t="s">
        <v>697</v>
      </c>
      <c r="E324" s="92" t="s">
        <v>840</v>
      </c>
      <c r="F324" s="92" t="s">
        <v>1465</v>
      </c>
      <c r="G324" s="92" t="s">
        <v>1465</v>
      </c>
      <c r="H324" s="92">
        <v>24</v>
      </c>
      <c r="I324" s="92">
        <v>0</v>
      </c>
      <c r="J324" s="92">
        <v>236</v>
      </c>
      <c r="K324" s="93">
        <v>81535</v>
      </c>
      <c r="L324" s="93">
        <f t="shared" si="5"/>
        <v>19242260</v>
      </c>
      <c r="M324" s="94" t="s">
        <v>727</v>
      </c>
      <c r="N324" s="92" t="s">
        <v>701</v>
      </c>
      <c r="O324" s="96" t="s">
        <v>728</v>
      </c>
    </row>
    <row r="325" spans="1:15" ht="15" customHeight="1" x14ac:dyDescent="0.25">
      <c r="A325" s="91" t="s">
        <v>1466</v>
      </c>
      <c r="B325" s="92" t="s">
        <v>735</v>
      </c>
      <c r="C325" s="92" t="s">
        <v>51</v>
      </c>
      <c r="D325" s="92" t="s">
        <v>711</v>
      </c>
      <c r="E325" s="92" t="s">
        <v>1467</v>
      </c>
      <c r="F325" s="92" t="s">
        <v>698</v>
      </c>
      <c r="G325" s="92"/>
      <c r="H325" s="92">
        <v>7</v>
      </c>
      <c r="I325" s="92">
        <v>0</v>
      </c>
      <c r="J325" s="92">
        <v>3</v>
      </c>
      <c r="K325" s="93">
        <v>76672</v>
      </c>
      <c r="L325" s="93">
        <f t="shared" si="5"/>
        <v>230016</v>
      </c>
      <c r="M325" s="92" t="s">
        <v>692</v>
      </c>
      <c r="N325" s="92" t="s">
        <v>742</v>
      </c>
      <c r="O325" s="95" t="s">
        <v>694</v>
      </c>
    </row>
    <row r="326" spans="1:15" ht="15" customHeight="1" x14ac:dyDescent="0.25">
      <c r="A326" s="91" t="s">
        <v>1468</v>
      </c>
      <c r="B326" s="92" t="s">
        <v>739</v>
      </c>
      <c r="C326" s="92" t="s">
        <v>51</v>
      </c>
      <c r="D326" s="92" t="s">
        <v>697</v>
      </c>
      <c r="E326" s="92" t="s">
        <v>1030</v>
      </c>
      <c r="F326" s="92" t="s">
        <v>1469</v>
      </c>
      <c r="G326" s="92" t="s">
        <v>1469</v>
      </c>
      <c r="H326" s="92">
        <v>32</v>
      </c>
      <c r="I326" s="92">
        <v>0</v>
      </c>
      <c r="J326" s="92">
        <v>334</v>
      </c>
      <c r="K326" s="93">
        <v>7051</v>
      </c>
      <c r="L326" s="93">
        <f t="shared" si="5"/>
        <v>2355034</v>
      </c>
      <c r="M326" s="94" t="s">
        <v>727</v>
      </c>
      <c r="N326" s="92" t="s">
        <v>714</v>
      </c>
      <c r="O326" s="96" t="s">
        <v>728</v>
      </c>
    </row>
    <row r="327" spans="1:15" ht="15" customHeight="1" x14ac:dyDescent="0.25">
      <c r="A327" s="91" t="s">
        <v>1470</v>
      </c>
      <c r="B327" s="92" t="s">
        <v>710</v>
      </c>
      <c r="C327" s="92" t="s">
        <v>96</v>
      </c>
      <c r="D327" s="92" t="s">
        <v>716</v>
      </c>
      <c r="E327" s="92" t="s">
        <v>1033</v>
      </c>
      <c r="F327" s="92" t="s">
        <v>901</v>
      </c>
      <c r="G327" s="92"/>
      <c r="H327" s="92">
        <v>29</v>
      </c>
      <c r="I327" s="92">
        <v>15</v>
      </c>
      <c r="J327" s="92">
        <v>424</v>
      </c>
      <c r="K327" s="93">
        <v>51311</v>
      </c>
      <c r="L327" s="93">
        <f t="shared" si="5"/>
        <v>21755864</v>
      </c>
      <c r="M327" s="94" t="s">
        <v>700</v>
      </c>
      <c r="N327" s="92" t="s">
        <v>708</v>
      </c>
      <c r="O327" s="95" t="s">
        <v>694</v>
      </c>
    </row>
    <row r="328" spans="1:15" ht="15" customHeight="1" x14ac:dyDescent="0.25">
      <c r="A328" s="91" t="s">
        <v>1471</v>
      </c>
      <c r="B328" s="92" t="s">
        <v>780</v>
      </c>
      <c r="C328" s="92" t="s">
        <v>86</v>
      </c>
      <c r="D328" s="92" t="s">
        <v>731</v>
      </c>
      <c r="E328" s="92" t="s">
        <v>1276</v>
      </c>
      <c r="F328" s="92" t="s">
        <v>1472</v>
      </c>
      <c r="G328" s="92" t="s">
        <v>1472</v>
      </c>
      <c r="H328" s="92">
        <v>14</v>
      </c>
      <c r="I328" s="92">
        <v>0</v>
      </c>
      <c r="J328" s="92">
        <v>114</v>
      </c>
      <c r="K328" s="93">
        <v>63296</v>
      </c>
      <c r="L328" s="93">
        <f t="shared" si="5"/>
        <v>7215744</v>
      </c>
      <c r="M328" s="94" t="s">
        <v>727</v>
      </c>
      <c r="N328" s="92" t="s">
        <v>701</v>
      </c>
      <c r="O328" s="96" t="s">
        <v>728</v>
      </c>
    </row>
    <row r="329" spans="1:15" ht="15" customHeight="1" x14ac:dyDescent="0.25">
      <c r="A329" s="91" t="s">
        <v>1473</v>
      </c>
      <c r="B329" s="92" t="s">
        <v>720</v>
      </c>
      <c r="C329" s="92" t="s">
        <v>103</v>
      </c>
      <c r="D329" s="92" t="s">
        <v>689</v>
      </c>
      <c r="E329" s="92" t="s">
        <v>1474</v>
      </c>
      <c r="F329" s="92" t="s">
        <v>1475</v>
      </c>
      <c r="G329" s="92"/>
      <c r="H329" s="92">
        <v>12</v>
      </c>
      <c r="I329" s="92">
        <v>0</v>
      </c>
      <c r="J329" s="92">
        <v>321</v>
      </c>
      <c r="K329" s="93">
        <v>26119</v>
      </c>
      <c r="L329" s="93">
        <f t="shared" si="5"/>
        <v>8384199</v>
      </c>
      <c r="M329" s="92" t="s">
        <v>692</v>
      </c>
      <c r="N329" s="92" t="s">
        <v>742</v>
      </c>
      <c r="O329" s="95" t="s">
        <v>694</v>
      </c>
    </row>
    <row r="330" spans="1:15" ht="15" customHeight="1" x14ac:dyDescent="0.25">
      <c r="A330" s="91" t="s">
        <v>1476</v>
      </c>
      <c r="B330" s="92" t="s">
        <v>753</v>
      </c>
      <c r="C330" s="92" t="s">
        <v>51</v>
      </c>
      <c r="D330" s="92" t="s">
        <v>697</v>
      </c>
      <c r="E330" s="92" t="s">
        <v>776</v>
      </c>
      <c r="F330" s="92" t="s">
        <v>1010</v>
      </c>
      <c r="G330" s="92" t="s">
        <v>796</v>
      </c>
      <c r="H330" s="92">
        <v>30</v>
      </c>
      <c r="I330" s="92">
        <v>8</v>
      </c>
      <c r="J330" s="92">
        <v>362</v>
      </c>
      <c r="K330" s="93">
        <v>51709</v>
      </c>
      <c r="L330" s="93">
        <f t="shared" si="5"/>
        <v>18718658</v>
      </c>
      <c r="M330" s="94" t="s">
        <v>727</v>
      </c>
      <c r="N330" s="92" t="s">
        <v>714</v>
      </c>
      <c r="O330" s="96" t="s">
        <v>778</v>
      </c>
    </row>
    <row r="331" spans="1:15" ht="15" customHeight="1" x14ac:dyDescent="0.25">
      <c r="A331" s="91" t="s">
        <v>1477</v>
      </c>
      <c r="B331" s="92" t="s">
        <v>753</v>
      </c>
      <c r="C331" s="92" t="s">
        <v>51</v>
      </c>
      <c r="D331" s="92" t="s">
        <v>787</v>
      </c>
      <c r="E331" s="92" t="s">
        <v>1478</v>
      </c>
      <c r="F331" s="92" t="s">
        <v>823</v>
      </c>
      <c r="G331" s="92"/>
      <c r="H331" s="92">
        <v>14</v>
      </c>
      <c r="I331" s="92">
        <v>0</v>
      </c>
      <c r="J331" s="92">
        <v>292</v>
      </c>
      <c r="K331" s="93">
        <v>42778</v>
      </c>
      <c r="L331" s="93">
        <f t="shared" si="5"/>
        <v>12491176</v>
      </c>
      <c r="M331" s="94" t="s">
        <v>759</v>
      </c>
      <c r="N331" s="92" t="s">
        <v>742</v>
      </c>
      <c r="O331" s="95" t="s">
        <v>694</v>
      </c>
    </row>
    <row r="332" spans="1:15" ht="15" customHeight="1" x14ac:dyDescent="0.25">
      <c r="A332" s="91" t="s">
        <v>1479</v>
      </c>
      <c r="B332" s="92" t="s">
        <v>688</v>
      </c>
      <c r="C332" s="92" t="s">
        <v>68</v>
      </c>
      <c r="D332" s="92" t="s">
        <v>689</v>
      </c>
      <c r="E332" s="92" t="s">
        <v>1480</v>
      </c>
      <c r="F332" s="92" t="s">
        <v>1481</v>
      </c>
      <c r="G332" s="92"/>
      <c r="H332" s="92">
        <v>43</v>
      </c>
      <c r="I332" s="92">
        <v>0</v>
      </c>
      <c r="J332" s="92">
        <v>309</v>
      </c>
      <c r="K332" s="93">
        <v>48254</v>
      </c>
      <c r="L332" s="93">
        <f t="shared" si="5"/>
        <v>14910486</v>
      </c>
      <c r="M332" s="92" t="s">
        <v>692</v>
      </c>
      <c r="N332" s="92" t="s">
        <v>714</v>
      </c>
      <c r="O332" s="95" t="s">
        <v>694</v>
      </c>
    </row>
    <row r="333" spans="1:15" ht="15" customHeight="1" x14ac:dyDescent="0.25">
      <c r="A333" s="91" t="s">
        <v>1482</v>
      </c>
      <c r="B333" s="92" t="s">
        <v>730</v>
      </c>
      <c r="C333" s="92" t="s">
        <v>131</v>
      </c>
      <c r="D333" s="92" t="s">
        <v>711</v>
      </c>
      <c r="E333" s="92" t="s">
        <v>1483</v>
      </c>
      <c r="F333" s="92" t="s">
        <v>1052</v>
      </c>
      <c r="G333" s="92" t="s">
        <v>1052</v>
      </c>
      <c r="H333" s="92">
        <v>11</v>
      </c>
      <c r="I333" s="92">
        <v>0</v>
      </c>
      <c r="J333" s="92">
        <v>452</v>
      </c>
      <c r="K333" s="93">
        <v>44700</v>
      </c>
      <c r="L333" s="93">
        <f t="shared" si="5"/>
        <v>20204400</v>
      </c>
      <c r="M333" s="94" t="s">
        <v>727</v>
      </c>
      <c r="N333" s="92" t="s">
        <v>701</v>
      </c>
      <c r="O333" s="96" t="s">
        <v>728</v>
      </c>
    </row>
    <row r="334" spans="1:15" ht="15" customHeight="1" x14ac:dyDescent="0.25">
      <c r="A334" s="91" t="s">
        <v>1484</v>
      </c>
      <c r="B334" s="92" t="s">
        <v>753</v>
      </c>
      <c r="C334" s="92" t="s">
        <v>51</v>
      </c>
      <c r="D334" s="92" t="s">
        <v>731</v>
      </c>
      <c r="E334" s="92" t="s">
        <v>1485</v>
      </c>
      <c r="F334" s="92" t="s">
        <v>1486</v>
      </c>
      <c r="G334" s="92"/>
      <c r="H334" s="92">
        <v>41</v>
      </c>
      <c r="I334" s="92">
        <v>0</v>
      </c>
      <c r="J334" s="92">
        <v>349</v>
      </c>
      <c r="K334" s="93">
        <v>47830</v>
      </c>
      <c r="L334" s="93">
        <f t="shared" si="5"/>
        <v>16692670</v>
      </c>
      <c r="M334" s="92" t="s">
        <v>692</v>
      </c>
      <c r="N334" s="92" t="s">
        <v>708</v>
      </c>
      <c r="O334" s="95" t="s">
        <v>694</v>
      </c>
    </row>
    <row r="335" spans="1:15" ht="15" customHeight="1" x14ac:dyDescent="0.25">
      <c r="A335" s="91" t="s">
        <v>1487</v>
      </c>
      <c r="B335" s="92" t="s">
        <v>735</v>
      </c>
      <c r="C335" s="92" t="s">
        <v>51</v>
      </c>
      <c r="D335" s="92" t="s">
        <v>787</v>
      </c>
      <c r="E335" s="92" t="s">
        <v>1007</v>
      </c>
      <c r="F335" s="92" t="s">
        <v>899</v>
      </c>
      <c r="G335" s="92"/>
      <c r="H335" s="92">
        <v>10</v>
      </c>
      <c r="I335" s="92">
        <v>0</v>
      </c>
      <c r="J335" s="92">
        <v>166</v>
      </c>
      <c r="K335" s="93">
        <v>37050</v>
      </c>
      <c r="L335" s="93">
        <f t="shared" si="5"/>
        <v>6150300</v>
      </c>
      <c r="M335" s="94" t="s">
        <v>759</v>
      </c>
      <c r="N335" s="92" t="s">
        <v>708</v>
      </c>
      <c r="O335" s="95" t="s">
        <v>694</v>
      </c>
    </row>
    <row r="336" spans="1:15" ht="15" customHeight="1" x14ac:dyDescent="0.25">
      <c r="A336" s="91" t="s">
        <v>1488</v>
      </c>
      <c r="B336" s="92" t="s">
        <v>703</v>
      </c>
      <c r="C336" s="92" t="s">
        <v>704</v>
      </c>
      <c r="D336" s="92" t="s">
        <v>716</v>
      </c>
      <c r="E336" s="92" t="s">
        <v>1415</v>
      </c>
      <c r="F336" s="92" t="s">
        <v>1489</v>
      </c>
      <c r="G336" s="92" t="s">
        <v>1489</v>
      </c>
      <c r="H336" s="92">
        <v>40</v>
      </c>
      <c r="I336" s="92">
        <v>0</v>
      </c>
      <c r="J336" s="92">
        <v>23</v>
      </c>
      <c r="K336" s="93">
        <v>75181</v>
      </c>
      <c r="L336" s="93">
        <f t="shared" si="5"/>
        <v>1729163</v>
      </c>
      <c r="M336" s="94" t="s">
        <v>727</v>
      </c>
      <c r="N336" s="92" t="s">
        <v>742</v>
      </c>
      <c r="O336" s="96" t="s">
        <v>728</v>
      </c>
    </row>
    <row r="337" spans="1:15" ht="15" customHeight="1" x14ac:dyDescent="0.25">
      <c r="A337" s="91" t="s">
        <v>1490</v>
      </c>
      <c r="B337" s="92" t="s">
        <v>735</v>
      </c>
      <c r="C337" s="92" t="s">
        <v>51</v>
      </c>
      <c r="D337" s="92" t="s">
        <v>724</v>
      </c>
      <c r="E337" s="92" t="s">
        <v>1491</v>
      </c>
      <c r="F337" s="92" t="s">
        <v>1492</v>
      </c>
      <c r="G337" s="92" t="s">
        <v>1492</v>
      </c>
      <c r="H337" s="92">
        <v>33</v>
      </c>
      <c r="I337" s="92">
        <v>0</v>
      </c>
      <c r="J337" s="92">
        <v>100</v>
      </c>
      <c r="K337" s="93">
        <v>28783</v>
      </c>
      <c r="L337" s="93">
        <f t="shared" si="5"/>
        <v>2878300</v>
      </c>
      <c r="M337" s="94" t="s">
        <v>727</v>
      </c>
      <c r="N337" s="92" t="s">
        <v>693</v>
      </c>
      <c r="O337" s="96" t="s">
        <v>728</v>
      </c>
    </row>
    <row r="338" spans="1:15" ht="15" customHeight="1" x14ac:dyDescent="0.25">
      <c r="A338" s="91" t="s">
        <v>1493</v>
      </c>
      <c r="B338" s="92" t="s">
        <v>735</v>
      </c>
      <c r="C338" s="92" t="s">
        <v>51</v>
      </c>
      <c r="D338" s="92" t="s">
        <v>689</v>
      </c>
      <c r="E338" s="92" t="s">
        <v>1494</v>
      </c>
      <c r="F338" s="92" t="s">
        <v>767</v>
      </c>
      <c r="G338" s="92"/>
      <c r="H338" s="92">
        <v>34</v>
      </c>
      <c r="I338" s="92">
        <v>10</v>
      </c>
      <c r="J338" s="92">
        <v>101</v>
      </c>
      <c r="K338" s="93">
        <v>14399</v>
      </c>
      <c r="L338" s="93">
        <f t="shared" si="5"/>
        <v>1454299</v>
      </c>
      <c r="M338" s="94" t="s">
        <v>700</v>
      </c>
      <c r="N338" s="92" t="s">
        <v>701</v>
      </c>
      <c r="O338" s="95" t="s">
        <v>694</v>
      </c>
    </row>
    <row r="339" spans="1:15" ht="15" customHeight="1" x14ac:dyDescent="0.25">
      <c r="A339" s="91" t="s">
        <v>1495</v>
      </c>
      <c r="B339" s="92" t="s">
        <v>696</v>
      </c>
      <c r="C339" s="92" t="s">
        <v>96</v>
      </c>
      <c r="D339" s="92" t="s">
        <v>716</v>
      </c>
      <c r="E339" s="92" t="s">
        <v>764</v>
      </c>
      <c r="F339" s="92" t="s">
        <v>1496</v>
      </c>
      <c r="G339" s="92" t="s">
        <v>1496</v>
      </c>
      <c r="H339" s="92">
        <v>8</v>
      </c>
      <c r="I339" s="92">
        <v>0</v>
      </c>
      <c r="J339" s="92">
        <v>409</v>
      </c>
      <c r="K339" s="93">
        <v>53422</v>
      </c>
      <c r="L339" s="93">
        <f t="shared" si="5"/>
        <v>21849598</v>
      </c>
      <c r="M339" s="94" t="s">
        <v>727</v>
      </c>
      <c r="N339" s="92" t="s">
        <v>701</v>
      </c>
      <c r="O339" s="96" t="s">
        <v>728</v>
      </c>
    </row>
    <row r="340" spans="1:15" ht="15" customHeight="1" x14ac:dyDescent="0.25">
      <c r="A340" s="91" t="s">
        <v>1497</v>
      </c>
      <c r="B340" s="92" t="s">
        <v>703</v>
      </c>
      <c r="C340" s="92" t="s">
        <v>704</v>
      </c>
      <c r="D340" s="92" t="s">
        <v>689</v>
      </c>
      <c r="E340" s="92" t="s">
        <v>1498</v>
      </c>
      <c r="F340" s="92" t="s">
        <v>1499</v>
      </c>
      <c r="G340" s="92" t="s">
        <v>1499</v>
      </c>
      <c r="H340" s="92">
        <v>13</v>
      </c>
      <c r="I340" s="92">
        <v>0</v>
      </c>
      <c r="J340" s="92">
        <v>421</v>
      </c>
      <c r="K340" s="93">
        <v>28688</v>
      </c>
      <c r="L340" s="93">
        <f t="shared" si="5"/>
        <v>12077648</v>
      </c>
      <c r="M340" s="94" t="s">
        <v>727</v>
      </c>
      <c r="N340" s="92" t="s">
        <v>742</v>
      </c>
      <c r="O340" s="96" t="s">
        <v>728</v>
      </c>
    </row>
    <row r="341" spans="1:15" ht="15" customHeight="1" x14ac:dyDescent="0.25">
      <c r="A341" s="91" t="s">
        <v>1500</v>
      </c>
      <c r="B341" s="92" t="s">
        <v>696</v>
      </c>
      <c r="C341" s="92" t="s">
        <v>96</v>
      </c>
      <c r="D341" s="92" t="s">
        <v>697</v>
      </c>
      <c r="E341" s="92" t="s">
        <v>1501</v>
      </c>
      <c r="F341" s="92" t="s">
        <v>1002</v>
      </c>
      <c r="G341" s="92"/>
      <c r="H341" s="92">
        <v>13</v>
      </c>
      <c r="I341" s="92">
        <v>0</v>
      </c>
      <c r="J341" s="92">
        <v>297</v>
      </c>
      <c r="K341" s="93">
        <v>11048</v>
      </c>
      <c r="L341" s="93">
        <f t="shared" si="5"/>
        <v>3281256</v>
      </c>
      <c r="M341" s="92" t="s">
        <v>692</v>
      </c>
      <c r="N341" s="92" t="s">
        <v>714</v>
      </c>
      <c r="O341" s="95" t="s">
        <v>694</v>
      </c>
    </row>
    <row r="342" spans="1:15" ht="15" customHeight="1" x14ac:dyDescent="0.25">
      <c r="A342" s="91" t="s">
        <v>1502</v>
      </c>
      <c r="B342" s="92" t="s">
        <v>735</v>
      </c>
      <c r="C342" s="92" t="s">
        <v>51</v>
      </c>
      <c r="D342" s="92" t="s">
        <v>787</v>
      </c>
      <c r="E342" s="92" t="s">
        <v>1503</v>
      </c>
      <c r="F342" s="92" t="s">
        <v>737</v>
      </c>
      <c r="G342" s="92"/>
      <c r="H342" s="92">
        <v>27</v>
      </c>
      <c r="I342" s="92">
        <v>0</v>
      </c>
      <c r="J342" s="92">
        <v>356</v>
      </c>
      <c r="K342" s="93">
        <v>5995</v>
      </c>
      <c r="L342" s="93">
        <f t="shared" si="5"/>
        <v>2134220</v>
      </c>
      <c r="M342" s="94" t="s">
        <v>759</v>
      </c>
      <c r="N342" s="92" t="s">
        <v>742</v>
      </c>
      <c r="O342" s="95" t="s">
        <v>694</v>
      </c>
    </row>
    <row r="343" spans="1:15" ht="15" customHeight="1" x14ac:dyDescent="0.25">
      <c r="A343" s="91" t="s">
        <v>1504</v>
      </c>
      <c r="B343" s="92" t="s">
        <v>735</v>
      </c>
      <c r="C343" s="92" t="s">
        <v>51</v>
      </c>
      <c r="D343" s="92" t="s">
        <v>697</v>
      </c>
      <c r="E343" s="92" t="s">
        <v>874</v>
      </c>
      <c r="F343" s="92" t="s">
        <v>1505</v>
      </c>
      <c r="G343" s="92" t="s">
        <v>1505</v>
      </c>
      <c r="H343" s="92">
        <v>10</v>
      </c>
      <c r="I343" s="92">
        <v>0</v>
      </c>
      <c r="J343" s="92">
        <v>53</v>
      </c>
      <c r="K343" s="93">
        <v>57754</v>
      </c>
      <c r="L343" s="93">
        <f t="shared" si="5"/>
        <v>3060962</v>
      </c>
      <c r="M343" s="94" t="s">
        <v>727</v>
      </c>
      <c r="N343" s="92" t="s">
        <v>693</v>
      </c>
      <c r="O343" s="96" t="s">
        <v>728</v>
      </c>
    </row>
    <row r="344" spans="1:15" ht="15" customHeight="1" x14ac:dyDescent="0.25">
      <c r="A344" s="91" t="s">
        <v>1506</v>
      </c>
      <c r="B344" s="92" t="s">
        <v>735</v>
      </c>
      <c r="C344" s="92" t="s">
        <v>51</v>
      </c>
      <c r="D344" s="92" t="s">
        <v>724</v>
      </c>
      <c r="E344" s="92" t="s">
        <v>744</v>
      </c>
      <c r="F344" s="92" t="s">
        <v>1117</v>
      </c>
      <c r="G344" s="92" t="s">
        <v>1117</v>
      </c>
      <c r="H344" s="92">
        <v>31</v>
      </c>
      <c r="I344" s="92">
        <v>0</v>
      </c>
      <c r="J344" s="92">
        <v>120</v>
      </c>
      <c r="K344" s="93">
        <v>73557</v>
      </c>
      <c r="L344" s="93">
        <f t="shared" si="5"/>
        <v>8826840</v>
      </c>
      <c r="M344" s="94" t="s">
        <v>727</v>
      </c>
      <c r="N344" s="92" t="s">
        <v>693</v>
      </c>
      <c r="O344" s="96" t="s">
        <v>728</v>
      </c>
    </row>
    <row r="345" spans="1:15" ht="15" customHeight="1" x14ac:dyDescent="0.25">
      <c r="A345" s="91" t="s">
        <v>1507</v>
      </c>
      <c r="B345" s="92" t="s">
        <v>735</v>
      </c>
      <c r="C345" s="92" t="s">
        <v>51</v>
      </c>
      <c r="D345" s="92" t="s">
        <v>697</v>
      </c>
      <c r="E345" s="92" t="s">
        <v>1041</v>
      </c>
      <c r="F345" s="92" t="s">
        <v>864</v>
      </c>
      <c r="G345" s="92" t="s">
        <v>864</v>
      </c>
      <c r="H345" s="92">
        <v>31</v>
      </c>
      <c r="I345" s="92">
        <v>0</v>
      </c>
      <c r="J345" s="92">
        <v>318</v>
      </c>
      <c r="K345" s="93">
        <v>9058</v>
      </c>
      <c r="L345" s="93">
        <f t="shared" si="5"/>
        <v>2880444</v>
      </c>
      <c r="M345" s="94" t="s">
        <v>727</v>
      </c>
      <c r="N345" s="92" t="s">
        <v>714</v>
      </c>
      <c r="O345" s="96" t="s">
        <v>728</v>
      </c>
    </row>
    <row r="346" spans="1:15" ht="15" customHeight="1" x14ac:dyDescent="0.25">
      <c r="A346" s="91" t="s">
        <v>1508</v>
      </c>
      <c r="B346" s="92" t="s">
        <v>710</v>
      </c>
      <c r="C346" s="92" t="s">
        <v>96</v>
      </c>
      <c r="D346" s="92" t="s">
        <v>705</v>
      </c>
      <c r="E346" s="92" t="s">
        <v>813</v>
      </c>
      <c r="F346" s="92" t="s">
        <v>1509</v>
      </c>
      <c r="G346" s="92" t="s">
        <v>1509</v>
      </c>
      <c r="H346" s="92">
        <v>44</v>
      </c>
      <c r="I346" s="92">
        <v>0</v>
      </c>
      <c r="J346" s="92">
        <v>366</v>
      </c>
      <c r="K346" s="93">
        <v>6208</v>
      </c>
      <c r="L346" s="93">
        <f t="shared" si="5"/>
        <v>2272128</v>
      </c>
      <c r="M346" s="94" t="s">
        <v>727</v>
      </c>
      <c r="N346" s="92" t="s">
        <v>742</v>
      </c>
      <c r="O346" s="96" t="s">
        <v>728</v>
      </c>
    </row>
    <row r="347" spans="1:15" ht="15" customHeight="1" x14ac:dyDescent="0.25">
      <c r="A347" s="91" t="s">
        <v>1510</v>
      </c>
      <c r="B347" s="92" t="s">
        <v>730</v>
      </c>
      <c r="C347" s="92" t="s">
        <v>131</v>
      </c>
      <c r="D347" s="92" t="s">
        <v>711</v>
      </c>
      <c r="E347" s="92" t="s">
        <v>1511</v>
      </c>
      <c r="F347" s="92" t="s">
        <v>1167</v>
      </c>
      <c r="G347" s="92" t="s">
        <v>1167</v>
      </c>
      <c r="H347" s="92">
        <v>39</v>
      </c>
      <c r="I347" s="92">
        <v>0</v>
      </c>
      <c r="J347" s="92">
        <v>318</v>
      </c>
      <c r="K347" s="93">
        <v>38071</v>
      </c>
      <c r="L347" s="93">
        <f t="shared" si="5"/>
        <v>12106578</v>
      </c>
      <c r="M347" s="94" t="s">
        <v>727</v>
      </c>
      <c r="N347" s="92" t="s">
        <v>742</v>
      </c>
      <c r="O347" s="96" t="s">
        <v>728</v>
      </c>
    </row>
    <row r="348" spans="1:15" ht="15" customHeight="1" x14ac:dyDescent="0.25">
      <c r="A348" s="91" t="s">
        <v>1512</v>
      </c>
      <c r="B348" s="92" t="s">
        <v>780</v>
      </c>
      <c r="C348" s="92" t="s">
        <v>86</v>
      </c>
      <c r="D348" s="92" t="s">
        <v>731</v>
      </c>
      <c r="E348" s="92" t="s">
        <v>1513</v>
      </c>
      <c r="F348" s="92" t="s">
        <v>1514</v>
      </c>
      <c r="G348" s="92" t="s">
        <v>1514</v>
      </c>
      <c r="H348" s="92">
        <v>10</v>
      </c>
      <c r="I348" s="92">
        <v>0</v>
      </c>
      <c r="J348" s="92">
        <v>492</v>
      </c>
      <c r="K348" s="93">
        <v>55569</v>
      </c>
      <c r="L348" s="93">
        <f t="shared" si="5"/>
        <v>27339948</v>
      </c>
      <c r="M348" s="94" t="s">
        <v>727</v>
      </c>
      <c r="N348" s="92" t="s">
        <v>701</v>
      </c>
      <c r="O348" s="96" t="s">
        <v>728</v>
      </c>
    </row>
    <row r="349" spans="1:15" ht="15" customHeight="1" x14ac:dyDescent="0.25">
      <c r="A349" s="91" t="s">
        <v>1515</v>
      </c>
      <c r="B349" s="92" t="s">
        <v>703</v>
      </c>
      <c r="C349" s="92" t="s">
        <v>704</v>
      </c>
      <c r="D349" s="92" t="s">
        <v>711</v>
      </c>
      <c r="E349" s="92" t="s">
        <v>352</v>
      </c>
      <c r="F349" s="92" t="s">
        <v>1314</v>
      </c>
      <c r="G349" s="92" t="s">
        <v>1314</v>
      </c>
      <c r="H349" s="92">
        <v>16</v>
      </c>
      <c r="I349" s="92">
        <v>0</v>
      </c>
      <c r="J349" s="92">
        <v>189</v>
      </c>
      <c r="K349" s="93">
        <v>82488</v>
      </c>
      <c r="L349" s="93">
        <f t="shared" si="5"/>
        <v>15590232</v>
      </c>
      <c r="M349" s="94" t="s">
        <v>727</v>
      </c>
      <c r="N349" s="92" t="s">
        <v>693</v>
      </c>
      <c r="O349" s="96" t="s">
        <v>728</v>
      </c>
    </row>
    <row r="350" spans="1:15" ht="15" customHeight="1" x14ac:dyDescent="0.25">
      <c r="A350" s="91" t="s">
        <v>1516</v>
      </c>
      <c r="B350" s="92" t="s">
        <v>730</v>
      </c>
      <c r="C350" s="92" t="s">
        <v>131</v>
      </c>
      <c r="D350" s="92" t="s">
        <v>711</v>
      </c>
      <c r="E350" s="92" t="s">
        <v>1517</v>
      </c>
      <c r="F350" s="92" t="s">
        <v>1518</v>
      </c>
      <c r="G350" s="92" t="s">
        <v>1518</v>
      </c>
      <c r="H350" s="92">
        <v>10</v>
      </c>
      <c r="I350" s="92">
        <v>0</v>
      </c>
      <c r="J350" s="92">
        <v>440</v>
      </c>
      <c r="K350" s="93">
        <v>5114</v>
      </c>
      <c r="L350" s="93">
        <f t="shared" si="5"/>
        <v>2250160</v>
      </c>
      <c r="M350" s="94" t="s">
        <v>727</v>
      </c>
      <c r="N350" s="92" t="s">
        <v>701</v>
      </c>
      <c r="O350" s="96" t="s">
        <v>728</v>
      </c>
    </row>
    <row r="351" spans="1:15" ht="15" customHeight="1" x14ac:dyDescent="0.25">
      <c r="A351" s="91" t="s">
        <v>1519</v>
      </c>
      <c r="B351" s="92" t="s">
        <v>753</v>
      </c>
      <c r="C351" s="92" t="s">
        <v>51</v>
      </c>
      <c r="D351" s="92" t="s">
        <v>689</v>
      </c>
      <c r="E351" s="92" t="s">
        <v>1200</v>
      </c>
      <c r="F351" s="92" t="s">
        <v>1520</v>
      </c>
      <c r="G351" s="92"/>
      <c r="H351" s="92">
        <v>19</v>
      </c>
      <c r="I351" s="92">
        <v>0</v>
      </c>
      <c r="J351" s="92">
        <v>175</v>
      </c>
      <c r="K351" s="93">
        <v>16501</v>
      </c>
      <c r="L351" s="93">
        <f t="shared" si="5"/>
        <v>2887675</v>
      </c>
      <c r="M351" s="92" t="s">
        <v>692</v>
      </c>
      <c r="N351" s="92" t="s">
        <v>708</v>
      </c>
      <c r="O351" s="95" t="s">
        <v>694</v>
      </c>
    </row>
    <row r="352" spans="1:15" ht="15" customHeight="1" x14ac:dyDescent="0.25">
      <c r="A352" s="91" t="s">
        <v>1521</v>
      </c>
      <c r="B352" s="92" t="s">
        <v>710</v>
      </c>
      <c r="C352" s="92" t="s">
        <v>96</v>
      </c>
      <c r="D352" s="92" t="s">
        <v>705</v>
      </c>
      <c r="E352" s="92" t="s">
        <v>951</v>
      </c>
      <c r="F352" s="92" t="s">
        <v>1258</v>
      </c>
      <c r="G352" s="92" t="s">
        <v>1258</v>
      </c>
      <c r="H352" s="92">
        <v>44</v>
      </c>
      <c r="I352" s="92">
        <v>0</v>
      </c>
      <c r="J352" s="92">
        <v>215</v>
      </c>
      <c r="K352" s="93">
        <v>28268</v>
      </c>
      <c r="L352" s="93">
        <f t="shared" si="5"/>
        <v>6077620</v>
      </c>
      <c r="M352" s="94" t="s">
        <v>727</v>
      </c>
      <c r="N352" s="92" t="s">
        <v>714</v>
      </c>
      <c r="O352" s="96" t="s">
        <v>728</v>
      </c>
    </row>
    <row r="353" spans="1:15" ht="15" customHeight="1" x14ac:dyDescent="0.25">
      <c r="A353" s="91" t="s">
        <v>1522</v>
      </c>
      <c r="B353" s="92" t="s">
        <v>710</v>
      </c>
      <c r="C353" s="92" t="s">
        <v>96</v>
      </c>
      <c r="D353" s="92" t="s">
        <v>731</v>
      </c>
      <c r="E353" s="92" t="s">
        <v>1523</v>
      </c>
      <c r="F353" s="92" t="s">
        <v>1524</v>
      </c>
      <c r="G353" s="92" t="s">
        <v>1524</v>
      </c>
      <c r="H353" s="92">
        <v>38</v>
      </c>
      <c r="I353" s="92">
        <v>0</v>
      </c>
      <c r="J353" s="92">
        <v>355</v>
      </c>
      <c r="K353" s="93">
        <v>19958</v>
      </c>
      <c r="L353" s="93">
        <f t="shared" si="5"/>
        <v>7085090</v>
      </c>
      <c r="M353" s="94" t="s">
        <v>727</v>
      </c>
      <c r="N353" s="92" t="s">
        <v>693</v>
      </c>
      <c r="O353" s="96" t="s">
        <v>728</v>
      </c>
    </row>
    <row r="354" spans="1:15" ht="15" customHeight="1" x14ac:dyDescent="0.25">
      <c r="A354" s="91" t="s">
        <v>1525</v>
      </c>
      <c r="B354" s="92" t="s">
        <v>753</v>
      </c>
      <c r="C354" s="92" t="s">
        <v>51</v>
      </c>
      <c r="D354" s="92" t="s">
        <v>689</v>
      </c>
      <c r="E354" s="92" t="s">
        <v>1118</v>
      </c>
      <c r="F354" s="92" t="s">
        <v>811</v>
      </c>
      <c r="G354" s="92"/>
      <c r="H354" s="92">
        <v>37</v>
      </c>
      <c r="I354" s="92">
        <v>0</v>
      </c>
      <c r="J354" s="92">
        <v>488</v>
      </c>
      <c r="K354" s="93">
        <v>69338</v>
      </c>
      <c r="L354" s="93">
        <f t="shared" si="5"/>
        <v>33836944</v>
      </c>
      <c r="M354" s="92" t="s">
        <v>692</v>
      </c>
      <c r="N354" s="92" t="s">
        <v>708</v>
      </c>
      <c r="O354" s="95" t="s">
        <v>694</v>
      </c>
    </row>
    <row r="355" spans="1:15" ht="15" customHeight="1" x14ac:dyDescent="0.25">
      <c r="A355" s="91" t="s">
        <v>1526</v>
      </c>
      <c r="B355" s="92" t="s">
        <v>753</v>
      </c>
      <c r="C355" s="92" t="s">
        <v>51</v>
      </c>
      <c r="D355" s="92" t="s">
        <v>787</v>
      </c>
      <c r="E355" s="92" t="s">
        <v>776</v>
      </c>
      <c r="F355" s="92" t="s">
        <v>1527</v>
      </c>
      <c r="G355" s="92"/>
      <c r="H355" s="92">
        <v>18</v>
      </c>
      <c r="I355" s="92">
        <v>0</v>
      </c>
      <c r="J355" s="92">
        <v>4</v>
      </c>
      <c r="K355" s="93">
        <v>31158</v>
      </c>
      <c r="L355" s="93">
        <f t="shared" si="5"/>
        <v>124632</v>
      </c>
      <c r="M355" s="92" t="s">
        <v>692</v>
      </c>
      <c r="N355" s="92" t="s">
        <v>714</v>
      </c>
      <c r="O355" s="95" t="s">
        <v>694</v>
      </c>
    </row>
    <row r="356" spans="1:15" ht="15" customHeight="1" x14ac:dyDescent="0.25">
      <c r="A356" s="91" t="s">
        <v>1528</v>
      </c>
      <c r="B356" s="92" t="s">
        <v>720</v>
      </c>
      <c r="C356" s="92" t="s">
        <v>103</v>
      </c>
      <c r="D356" s="92" t="s">
        <v>731</v>
      </c>
      <c r="E356" s="92" t="s">
        <v>920</v>
      </c>
      <c r="F356" s="92" t="s">
        <v>1529</v>
      </c>
      <c r="G356" s="92" t="s">
        <v>1529</v>
      </c>
      <c r="H356" s="92">
        <v>42</v>
      </c>
      <c r="I356" s="92">
        <v>0</v>
      </c>
      <c r="J356" s="92">
        <v>324</v>
      </c>
      <c r="K356" s="93">
        <v>49991</v>
      </c>
      <c r="L356" s="93">
        <f t="shared" si="5"/>
        <v>16197084</v>
      </c>
      <c r="M356" s="94" t="s">
        <v>727</v>
      </c>
      <c r="N356" s="92" t="s">
        <v>701</v>
      </c>
      <c r="O356" s="96" t="s">
        <v>728</v>
      </c>
    </row>
    <row r="357" spans="1:15" ht="15" customHeight="1" x14ac:dyDescent="0.25">
      <c r="A357" s="91" t="s">
        <v>1530</v>
      </c>
      <c r="B357" s="92" t="s">
        <v>735</v>
      </c>
      <c r="C357" s="92" t="s">
        <v>51</v>
      </c>
      <c r="D357" s="92" t="s">
        <v>731</v>
      </c>
      <c r="E357" s="92" t="s">
        <v>1181</v>
      </c>
      <c r="F357" s="92" t="s">
        <v>1044</v>
      </c>
      <c r="G357" s="92" t="s">
        <v>1044</v>
      </c>
      <c r="H357" s="92">
        <v>19</v>
      </c>
      <c r="I357" s="92">
        <v>0</v>
      </c>
      <c r="J357" s="92">
        <v>135</v>
      </c>
      <c r="K357" s="93">
        <v>61242</v>
      </c>
      <c r="L357" s="93">
        <f t="shared" si="5"/>
        <v>8267670</v>
      </c>
      <c r="M357" s="94" t="s">
        <v>727</v>
      </c>
      <c r="N357" s="92" t="s">
        <v>701</v>
      </c>
      <c r="O357" s="96" t="s">
        <v>728</v>
      </c>
    </row>
    <row r="358" spans="1:15" ht="15" customHeight="1" x14ac:dyDescent="0.25">
      <c r="A358" s="91" t="s">
        <v>1531</v>
      </c>
      <c r="B358" s="92" t="s">
        <v>688</v>
      </c>
      <c r="C358" s="92" t="s">
        <v>68</v>
      </c>
      <c r="D358" s="92" t="s">
        <v>689</v>
      </c>
      <c r="E358" s="92" t="s">
        <v>1403</v>
      </c>
      <c r="F358" s="92" t="s">
        <v>1532</v>
      </c>
      <c r="G358" s="92" t="s">
        <v>1532</v>
      </c>
      <c r="H358" s="92">
        <v>18</v>
      </c>
      <c r="I358" s="92">
        <v>0</v>
      </c>
      <c r="J358" s="92">
        <v>467</v>
      </c>
      <c r="K358" s="93">
        <v>9051</v>
      </c>
      <c r="L358" s="93">
        <f t="shared" si="5"/>
        <v>4226817</v>
      </c>
      <c r="M358" s="94" t="s">
        <v>727</v>
      </c>
      <c r="N358" s="92" t="s">
        <v>742</v>
      </c>
      <c r="O358" s="96" t="s">
        <v>728</v>
      </c>
    </row>
    <row r="359" spans="1:15" ht="15" customHeight="1" x14ac:dyDescent="0.25">
      <c r="A359" s="91" t="s">
        <v>1533</v>
      </c>
      <c r="B359" s="92" t="s">
        <v>739</v>
      </c>
      <c r="C359" s="92" t="s">
        <v>51</v>
      </c>
      <c r="D359" s="92" t="s">
        <v>716</v>
      </c>
      <c r="E359" s="92" t="s">
        <v>1534</v>
      </c>
      <c r="F359" s="92" t="s">
        <v>1222</v>
      </c>
      <c r="G359" s="92"/>
      <c r="H359" s="92">
        <v>28</v>
      </c>
      <c r="I359" s="92">
        <v>12</v>
      </c>
      <c r="J359" s="92">
        <v>234</v>
      </c>
      <c r="K359" s="93">
        <v>20793</v>
      </c>
      <c r="L359" s="93">
        <f t="shared" si="5"/>
        <v>4865562</v>
      </c>
      <c r="M359" s="94" t="s">
        <v>700</v>
      </c>
      <c r="N359" s="92" t="s">
        <v>701</v>
      </c>
      <c r="O359" s="95" t="s">
        <v>694</v>
      </c>
    </row>
    <row r="360" spans="1:15" ht="15" customHeight="1" x14ac:dyDescent="0.25">
      <c r="A360" s="91" t="s">
        <v>1535</v>
      </c>
      <c r="B360" s="92" t="s">
        <v>780</v>
      </c>
      <c r="C360" s="92" t="s">
        <v>86</v>
      </c>
      <c r="D360" s="92" t="s">
        <v>787</v>
      </c>
      <c r="E360" s="92" t="s">
        <v>1536</v>
      </c>
      <c r="F360" s="92" t="s">
        <v>887</v>
      </c>
      <c r="G360" s="92" t="s">
        <v>887</v>
      </c>
      <c r="H360" s="92">
        <v>11</v>
      </c>
      <c r="I360" s="92">
        <v>0</v>
      </c>
      <c r="J360" s="92">
        <v>99</v>
      </c>
      <c r="K360" s="93">
        <v>45501</v>
      </c>
      <c r="L360" s="93">
        <f t="shared" si="5"/>
        <v>4504599</v>
      </c>
      <c r="M360" s="94" t="s">
        <v>727</v>
      </c>
      <c r="N360" s="92" t="s">
        <v>701</v>
      </c>
      <c r="O360" s="96" t="s">
        <v>728</v>
      </c>
    </row>
    <row r="361" spans="1:15" ht="15" customHeight="1" x14ac:dyDescent="0.25">
      <c r="A361" s="91" t="s">
        <v>1537</v>
      </c>
      <c r="B361" s="92" t="s">
        <v>720</v>
      </c>
      <c r="C361" s="92" t="s">
        <v>103</v>
      </c>
      <c r="D361" s="92" t="s">
        <v>787</v>
      </c>
      <c r="E361" s="92" t="s">
        <v>1064</v>
      </c>
      <c r="F361" s="92" t="s">
        <v>793</v>
      </c>
      <c r="G361" s="92"/>
      <c r="H361" s="92">
        <v>22</v>
      </c>
      <c r="I361" s="92">
        <v>21</v>
      </c>
      <c r="J361" s="92">
        <v>97</v>
      </c>
      <c r="K361" s="93">
        <v>72700</v>
      </c>
      <c r="L361" s="93">
        <f t="shared" si="5"/>
        <v>7051900</v>
      </c>
      <c r="M361" s="94" t="s">
        <v>700</v>
      </c>
      <c r="N361" s="92" t="s">
        <v>701</v>
      </c>
      <c r="O361" s="95" t="s">
        <v>694</v>
      </c>
    </row>
    <row r="362" spans="1:15" ht="15" customHeight="1" x14ac:dyDescent="0.25">
      <c r="A362" s="91" t="s">
        <v>1538</v>
      </c>
      <c r="B362" s="92" t="s">
        <v>780</v>
      </c>
      <c r="C362" s="92" t="s">
        <v>86</v>
      </c>
      <c r="D362" s="92" t="s">
        <v>705</v>
      </c>
      <c r="E362" s="92" t="s">
        <v>1539</v>
      </c>
      <c r="F362" s="92" t="s">
        <v>1423</v>
      </c>
      <c r="G362" s="92" t="s">
        <v>1423</v>
      </c>
      <c r="H362" s="92">
        <v>22</v>
      </c>
      <c r="I362" s="92">
        <v>0</v>
      </c>
      <c r="J362" s="92">
        <v>65</v>
      </c>
      <c r="K362" s="93">
        <v>72452</v>
      </c>
      <c r="L362" s="93">
        <f t="shared" si="5"/>
        <v>4709380</v>
      </c>
      <c r="M362" s="94" t="s">
        <v>727</v>
      </c>
      <c r="N362" s="92" t="s">
        <v>693</v>
      </c>
      <c r="O362" s="96" t="s">
        <v>728</v>
      </c>
    </row>
    <row r="363" spans="1:15" ht="15" customHeight="1" x14ac:dyDescent="0.25">
      <c r="A363" s="91" t="s">
        <v>1540</v>
      </c>
      <c r="B363" s="92" t="s">
        <v>710</v>
      </c>
      <c r="C363" s="92" t="s">
        <v>96</v>
      </c>
      <c r="D363" s="92" t="s">
        <v>689</v>
      </c>
      <c r="E363" s="92" t="s">
        <v>1286</v>
      </c>
      <c r="F363" s="92" t="s">
        <v>1541</v>
      </c>
      <c r="G363" s="92"/>
      <c r="H363" s="92">
        <v>12</v>
      </c>
      <c r="I363" s="92">
        <v>0</v>
      </c>
      <c r="J363" s="92">
        <v>405</v>
      </c>
      <c r="K363" s="93">
        <v>56566</v>
      </c>
      <c r="L363" s="93">
        <f t="shared" si="5"/>
        <v>22909230</v>
      </c>
      <c r="M363" s="92" t="s">
        <v>692</v>
      </c>
      <c r="N363" s="92" t="s">
        <v>714</v>
      </c>
      <c r="O363" s="95" t="s">
        <v>694</v>
      </c>
    </row>
    <row r="364" spans="1:15" ht="15" customHeight="1" x14ac:dyDescent="0.25">
      <c r="A364" s="91" t="s">
        <v>1542</v>
      </c>
      <c r="B364" s="92" t="s">
        <v>780</v>
      </c>
      <c r="C364" s="92" t="s">
        <v>86</v>
      </c>
      <c r="D364" s="92" t="s">
        <v>787</v>
      </c>
      <c r="E364" s="92" t="s">
        <v>833</v>
      </c>
      <c r="F364" s="92" t="s">
        <v>1400</v>
      </c>
      <c r="G364" s="92" t="s">
        <v>1400</v>
      </c>
      <c r="H364" s="92">
        <v>39</v>
      </c>
      <c r="I364" s="92">
        <v>0</v>
      </c>
      <c r="J364" s="92">
        <v>165</v>
      </c>
      <c r="K364" s="93">
        <v>60705</v>
      </c>
      <c r="L364" s="93">
        <f t="shared" si="5"/>
        <v>10016325</v>
      </c>
      <c r="M364" s="94" t="s">
        <v>727</v>
      </c>
      <c r="N364" s="92" t="s">
        <v>693</v>
      </c>
      <c r="O364" s="96" t="s">
        <v>728</v>
      </c>
    </row>
    <row r="365" spans="1:15" ht="15" customHeight="1" x14ac:dyDescent="0.25">
      <c r="A365" s="91" t="s">
        <v>1543</v>
      </c>
      <c r="B365" s="92" t="s">
        <v>710</v>
      </c>
      <c r="C365" s="92" t="s">
        <v>96</v>
      </c>
      <c r="D365" s="92" t="s">
        <v>697</v>
      </c>
      <c r="E365" s="92" t="s">
        <v>1033</v>
      </c>
      <c r="F365" s="92" t="s">
        <v>1170</v>
      </c>
      <c r="G365" s="92" t="s">
        <v>1170</v>
      </c>
      <c r="H365" s="92">
        <v>37</v>
      </c>
      <c r="I365" s="92">
        <v>0</v>
      </c>
      <c r="J365" s="92">
        <v>405</v>
      </c>
      <c r="K365" s="93">
        <v>49847</v>
      </c>
      <c r="L365" s="93">
        <f t="shared" si="5"/>
        <v>20188035</v>
      </c>
      <c r="M365" s="94" t="s">
        <v>727</v>
      </c>
      <c r="N365" s="92" t="s">
        <v>714</v>
      </c>
      <c r="O365" s="96" t="s">
        <v>728</v>
      </c>
    </row>
    <row r="366" spans="1:15" ht="15" customHeight="1" x14ac:dyDescent="0.25">
      <c r="A366" s="91" t="s">
        <v>1544</v>
      </c>
      <c r="B366" s="92" t="s">
        <v>753</v>
      </c>
      <c r="C366" s="92" t="s">
        <v>51</v>
      </c>
      <c r="D366" s="92" t="s">
        <v>689</v>
      </c>
      <c r="E366" s="92" t="s">
        <v>1118</v>
      </c>
      <c r="F366" s="92" t="s">
        <v>757</v>
      </c>
      <c r="G366" s="92" t="s">
        <v>757</v>
      </c>
      <c r="H366" s="92">
        <v>19</v>
      </c>
      <c r="I366" s="92">
        <v>0</v>
      </c>
      <c r="J366" s="92">
        <v>157</v>
      </c>
      <c r="K366" s="93">
        <v>36414</v>
      </c>
      <c r="L366" s="93">
        <f t="shared" si="5"/>
        <v>5716998</v>
      </c>
      <c r="M366" s="94" t="s">
        <v>727</v>
      </c>
      <c r="N366" s="92" t="s">
        <v>708</v>
      </c>
      <c r="O366" s="96" t="s">
        <v>728</v>
      </c>
    </row>
    <row r="367" spans="1:15" ht="15" customHeight="1" x14ac:dyDescent="0.25">
      <c r="A367" s="91" t="s">
        <v>1545</v>
      </c>
      <c r="B367" s="92" t="s">
        <v>730</v>
      </c>
      <c r="C367" s="92" t="s">
        <v>131</v>
      </c>
      <c r="D367" s="92" t="s">
        <v>711</v>
      </c>
      <c r="E367" s="92" t="s">
        <v>1048</v>
      </c>
      <c r="F367" s="92" t="s">
        <v>1546</v>
      </c>
      <c r="G367" s="92" t="s">
        <v>1546</v>
      </c>
      <c r="H367" s="92">
        <v>30</v>
      </c>
      <c r="I367" s="92">
        <v>0</v>
      </c>
      <c r="J367" s="92">
        <v>44</v>
      </c>
      <c r="K367" s="93">
        <v>25432</v>
      </c>
      <c r="L367" s="93">
        <f t="shared" si="5"/>
        <v>1119008</v>
      </c>
      <c r="M367" s="94" t="s">
        <v>727</v>
      </c>
      <c r="N367" s="92" t="s">
        <v>693</v>
      </c>
      <c r="O367" s="96" t="s">
        <v>728</v>
      </c>
    </row>
    <row r="368" spans="1:15" ht="15" customHeight="1" x14ac:dyDescent="0.25">
      <c r="A368" s="91" t="s">
        <v>1547</v>
      </c>
      <c r="B368" s="92" t="s">
        <v>720</v>
      </c>
      <c r="C368" s="92" t="s">
        <v>103</v>
      </c>
      <c r="D368" s="92" t="s">
        <v>689</v>
      </c>
      <c r="E368" s="92" t="s">
        <v>1548</v>
      </c>
      <c r="F368" s="92" t="s">
        <v>1549</v>
      </c>
      <c r="G368" s="92" t="s">
        <v>1549</v>
      </c>
      <c r="H368" s="92">
        <v>44</v>
      </c>
      <c r="I368" s="92">
        <v>0</v>
      </c>
      <c r="J368" s="92">
        <v>219</v>
      </c>
      <c r="K368" s="93">
        <v>38622</v>
      </c>
      <c r="L368" s="93">
        <f t="shared" si="5"/>
        <v>8458218</v>
      </c>
      <c r="M368" s="94" t="s">
        <v>727</v>
      </c>
      <c r="N368" s="92" t="s">
        <v>708</v>
      </c>
      <c r="O368" s="96" t="s">
        <v>728</v>
      </c>
    </row>
    <row r="369" spans="1:15" ht="15" customHeight="1" x14ac:dyDescent="0.25">
      <c r="A369" s="91" t="s">
        <v>1550</v>
      </c>
      <c r="B369" s="92" t="s">
        <v>739</v>
      </c>
      <c r="C369" s="92" t="s">
        <v>51</v>
      </c>
      <c r="D369" s="92" t="s">
        <v>705</v>
      </c>
      <c r="E369" s="92" t="s">
        <v>1467</v>
      </c>
      <c r="F369" s="92" t="s">
        <v>1182</v>
      </c>
      <c r="G369" s="92" t="s">
        <v>1182</v>
      </c>
      <c r="H369" s="92">
        <v>38</v>
      </c>
      <c r="I369" s="92">
        <v>0</v>
      </c>
      <c r="J369" s="92">
        <v>227</v>
      </c>
      <c r="K369" s="93">
        <v>20255</v>
      </c>
      <c r="L369" s="93">
        <f t="shared" si="5"/>
        <v>4597885</v>
      </c>
      <c r="M369" s="94" t="s">
        <v>727</v>
      </c>
      <c r="N369" s="92" t="s">
        <v>714</v>
      </c>
      <c r="O369" s="96" t="s">
        <v>728</v>
      </c>
    </row>
    <row r="370" spans="1:15" ht="15" customHeight="1" x14ac:dyDescent="0.25">
      <c r="A370" s="91" t="s">
        <v>1551</v>
      </c>
      <c r="B370" s="92" t="s">
        <v>720</v>
      </c>
      <c r="C370" s="92" t="s">
        <v>103</v>
      </c>
      <c r="D370" s="92" t="s">
        <v>716</v>
      </c>
      <c r="E370" s="92" t="s">
        <v>885</v>
      </c>
      <c r="F370" s="92" t="s">
        <v>1552</v>
      </c>
      <c r="G370" s="92"/>
      <c r="H370" s="92">
        <v>25</v>
      </c>
      <c r="I370" s="92">
        <v>0</v>
      </c>
      <c r="J370" s="92">
        <v>263</v>
      </c>
      <c r="K370" s="93">
        <v>46692</v>
      </c>
      <c r="L370" s="93">
        <f t="shared" si="5"/>
        <v>12279996</v>
      </c>
      <c r="M370" s="94" t="s">
        <v>759</v>
      </c>
      <c r="N370" s="92" t="s">
        <v>714</v>
      </c>
      <c r="O370" s="95" t="s">
        <v>694</v>
      </c>
    </row>
    <row r="371" spans="1:15" ht="15" customHeight="1" x14ac:dyDescent="0.25">
      <c r="A371" s="91" t="s">
        <v>1553</v>
      </c>
      <c r="B371" s="92" t="s">
        <v>703</v>
      </c>
      <c r="C371" s="92" t="s">
        <v>704</v>
      </c>
      <c r="D371" s="92" t="s">
        <v>689</v>
      </c>
      <c r="E371" s="92" t="s">
        <v>1055</v>
      </c>
      <c r="F371" s="92" t="s">
        <v>872</v>
      </c>
      <c r="G371" s="92" t="s">
        <v>872</v>
      </c>
      <c r="H371" s="92">
        <v>13</v>
      </c>
      <c r="I371" s="92">
        <v>0</v>
      </c>
      <c r="J371" s="92">
        <v>103</v>
      </c>
      <c r="K371" s="93">
        <v>28703</v>
      </c>
      <c r="L371" s="93">
        <f t="shared" si="5"/>
        <v>2956409</v>
      </c>
      <c r="M371" s="94" t="s">
        <v>727</v>
      </c>
      <c r="N371" s="92" t="s">
        <v>701</v>
      </c>
      <c r="O371" s="96" t="s">
        <v>728</v>
      </c>
    </row>
    <row r="372" spans="1:15" ht="15" customHeight="1" x14ac:dyDescent="0.25">
      <c r="A372" s="91" t="s">
        <v>1554</v>
      </c>
      <c r="B372" s="92" t="s">
        <v>703</v>
      </c>
      <c r="C372" s="92" t="s">
        <v>704</v>
      </c>
      <c r="D372" s="92" t="s">
        <v>724</v>
      </c>
      <c r="E372" s="92" t="s">
        <v>901</v>
      </c>
      <c r="F372" s="92" t="s">
        <v>1555</v>
      </c>
      <c r="G372" s="92" t="s">
        <v>1261</v>
      </c>
      <c r="H372" s="92">
        <v>24</v>
      </c>
      <c r="I372" s="92">
        <v>10</v>
      </c>
      <c r="J372" s="92">
        <v>438</v>
      </c>
      <c r="K372" s="93">
        <v>64076</v>
      </c>
      <c r="L372" s="93">
        <f t="shared" si="5"/>
        <v>28065288</v>
      </c>
      <c r="M372" s="94" t="s">
        <v>727</v>
      </c>
      <c r="N372" s="92" t="s">
        <v>693</v>
      </c>
      <c r="O372" s="96" t="s">
        <v>778</v>
      </c>
    </row>
    <row r="373" spans="1:15" ht="15" customHeight="1" x14ac:dyDescent="0.25">
      <c r="A373" s="91" t="s">
        <v>1556</v>
      </c>
      <c r="B373" s="92" t="s">
        <v>703</v>
      </c>
      <c r="C373" s="92" t="s">
        <v>704</v>
      </c>
      <c r="D373" s="92" t="s">
        <v>731</v>
      </c>
      <c r="E373" s="92" t="s">
        <v>1188</v>
      </c>
      <c r="F373" s="92" t="s">
        <v>859</v>
      </c>
      <c r="G373" s="92" t="s">
        <v>859</v>
      </c>
      <c r="H373" s="92">
        <v>26</v>
      </c>
      <c r="I373" s="92">
        <v>0</v>
      </c>
      <c r="J373" s="92">
        <v>207</v>
      </c>
      <c r="K373" s="93">
        <v>80421</v>
      </c>
      <c r="L373" s="93">
        <f t="shared" si="5"/>
        <v>16647147</v>
      </c>
      <c r="M373" s="94" t="s">
        <v>727</v>
      </c>
      <c r="N373" s="92" t="s">
        <v>693</v>
      </c>
      <c r="O373" s="96" t="s">
        <v>728</v>
      </c>
    </row>
    <row r="374" spans="1:15" ht="15" customHeight="1" x14ac:dyDescent="0.25">
      <c r="A374" s="91" t="s">
        <v>1557</v>
      </c>
      <c r="B374" s="92" t="s">
        <v>735</v>
      </c>
      <c r="C374" s="92" t="s">
        <v>51</v>
      </c>
      <c r="D374" s="92" t="s">
        <v>697</v>
      </c>
      <c r="E374" s="92" t="s">
        <v>1558</v>
      </c>
      <c r="F374" s="92" t="s">
        <v>1478</v>
      </c>
      <c r="G374" s="92"/>
      <c r="H374" s="92">
        <v>39</v>
      </c>
      <c r="I374" s="92">
        <v>7</v>
      </c>
      <c r="J374" s="92">
        <v>444</v>
      </c>
      <c r="K374" s="93">
        <v>34089</v>
      </c>
      <c r="L374" s="93">
        <f t="shared" si="5"/>
        <v>15135516</v>
      </c>
      <c r="M374" s="94" t="s">
        <v>700</v>
      </c>
      <c r="N374" s="92" t="s">
        <v>742</v>
      </c>
      <c r="O374" s="95" t="s">
        <v>694</v>
      </c>
    </row>
    <row r="375" spans="1:15" ht="15" customHeight="1" x14ac:dyDescent="0.25">
      <c r="A375" s="91" t="s">
        <v>1559</v>
      </c>
      <c r="B375" s="92" t="s">
        <v>753</v>
      </c>
      <c r="C375" s="92" t="s">
        <v>51</v>
      </c>
      <c r="D375" s="92" t="s">
        <v>697</v>
      </c>
      <c r="E375" s="92" t="s">
        <v>1560</v>
      </c>
      <c r="F375" s="92" t="s">
        <v>1561</v>
      </c>
      <c r="G375" s="92" t="s">
        <v>1561</v>
      </c>
      <c r="H375" s="92">
        <v>21</v>
      </c>
      <c r="I375" s="92">
        <v>0</v>
      </c>
      <c r="J375" s="92">
        <v>240</v>
      </c>
      <c r="K375" s="93">
        <v>61552</v>
      </c>
      <c r="L375" s="93">
        <f t="shared" si="5"/>
        <v>14772480</v>
      </c>
      <c r="M375" s="94" t="s">
        <v>727</v>
      </c>
      <c r="N375" s="92" t="s">
        <v>708</v>
      </c>
      <c r="O375" s="96" t="s">
        <v>728</v>
      </c>
    </row>
    <row r="376" spans="1:15" ht="15" customHeight="1" x14ac:dyDescent="0.25">
      <c r="A376" s="91" t="s">
        <v>1562</v>
      </c>
      <c r="B376" s="92" t="s">
        <v>720</v>
      </c>
      <c r="C376" s="92" t="s">
        <v>103</v>
      </c>
      <c r="D376" s="92" t="s">
        <v>716</v>
      </c>
      <c r="E376" s="92" t="s">
        <v>1284</v>
      </c>
      <c r="F376" s="92" t="s">
        <v>776</v>
      </c>
      <c r="G376" s="92"/>
      <c r="H376" s="92">
        <v>27</v>
      </c>
      <c r="I376" s="92">
        <v>0</v>
      </c>
      <c r="J376" s="92">
        <v>220</v>
      </c>
      <c r="K376" s="93">
        <v>65576</v>
      </c>
      <c r="L376" s="93">
        <f t="shared" si="5"/>
        <v>14426720</v>
      </c>
      <c r="M376" s="94" t="s">
        <v>759</v>
      </c>
      <c r="N376" s="92" t="s">
        <v>708</v>
      </c>
      <c r="O376" s="95" t="s">
        <v>694</v>
      </c>
    </row>
    <row r="377" spans="1:15" ht="15" customHeight="1" x14ac:dyDescent="0.25">
      <c r="A377" s="91" t="s">
        <v>1563</v>
      </c>
      <c r="B377" s="92" t="s">
        <v>753</v>
      </c>
      <c r="C377" s="92" t="s">
        <v>51</v>
      </c>
      <c r="D377" s="92" t="s">
        <v>697</v>
      </c>
      <c r="E377" s="92" t="s">
        <v>1067</v>
      </c>
      <c r="F377" s="92" t="s">
        <v>1564</v>
      </c>
      <c r="G377" s="92"/>
      <c r="H377" s="92">
        <v>35</v>
      </c>
      <c r="I377" s="92">
        <v>0</v>
      </c>
      <c r="J377" s="92">
        <v>16</v>
      </c>
      <c r="K377" s="93">
        <v>32162</v>
      </c>
      <c r="L377" s="93">
        <f t="shared" si="5"/>
        <v>514592</v>
      </c>
      <c r="M377" s="94" t="s">
        <v>759</v>
      </c>
      <c r="N377" s="92" t="s">
        <v>693</v>
      </c>
      <c r="O377" s="95" t="s">
        <v>694</v>
      </c>
    </row>
    <row r="378" spans="1:15" ht="15" customHeight="1" x14ac:dyDescent="0.25">
      <c r="A378" s="91" t="s">
        <v>1565</v>
      </c>
      <c r="B378" s="92" t="s">
        <v>780</v>
      </c>
      <c r="C378" s="92" t="s">
        <v>86</v>
      </c>
      <c r="D378" s="92" t="s">
        <v>724</v>
      </c>
      <c r="E378" s="92" t="s">
        <v>1566</v>
      </c>
      <c r="F378" s="92" t="s">
        <v>1424</v>
      </c>
      <c r="G378" s="92" t="s">
        <v>1424</v>
      </c>
      <c r="H378" s="92">
        <v>7</v>
      </c>
      <c r="I378" s="92">
        <v>0</v>
      </c>
      <c r="J378" s="92">
        <v>174</v>
      </c>
      <c r="K378" s="93">
        <v>19554</v>
      </c>
      <c r="L378" s="93">
        <f t="shared" si="5"/>
        <v>3402396</v>
      </c>
      <c r="M378" s="94" t="s">
        <v>727</v>
      </c>
      <c r="N378" s="92" t="s">
        <v>708</v>
      </c>
      <c r="O378" s="96" t="s">
        <v>728</v>
      </c>
    </row>
    <row r="379" spans="1:15" ht="15" customHeight="1" x14ac:dyDescent="0.25">
      <c r="A379" s="91" t="s">
        <v>1567</v>
      </c>
      <c r="B379" s="92" t="s">
        <v>739</v>
      </c>
      <c r="C379" s="92" t="s">
        <v>51</v>
      </c>
      <c r="D379" s="92" t="s">
        <v>724</v>
      </c>
      <c r="E379" s="92" t="s">
        <v>1475</v>
      </c>
      <c r="F379" s="92" t="s">
        <v>913</v>
      </c>
      <c r="G379" s="92" t="s">
        <v>913</v>
      </c>
      <c r="H379" s="92">
        <v>27</v>
      </c>
      <c r="I379" s="92">
        <v>0</v>
      </c>
      <c r="J379" s="92">
        <v>473</v>
      </c>
      <c r="K379" s="93">
        <v>12257</v>
      </c>
      <c r="L379" s="93">
        <f t="shared" si="5"/>
        <v>5797561</v>
      </c>
      <c r="M379" s="94" t="s">
        <v>727</v>
      </c>
      <c r="N379" s="92" t="s">
        <v>701</v>
      </c>
      <c r="O379" s="96" t="s">
        <v>728</v>
      </c>
    </row>
    <row r="380" spans="1:15" ht="15" customHeight="1" x14ac:dyDescent="0.25">
      <c r="A380" s="91" t="s">
        <v>1568</v>
      </c>
      <c r="B380" s="92" t="s">
        <v>730</v>
      </c>
      <c r="C380" s="92" t="s">
        <v>131</v>
      </c>
      <c r="D380" s="92" t="s">
        <v>787</v>
      </c>
      <c r="E380" s="92" t="s">
        <v>1281</v>
      </c>
      <c r="F380" s="92" t="s">
        <v>1215</v>
      </c>
      <c r="G380" s="92" t="s">
        <v>1215</v>
      </c>
      <c r="H380" s="92">
        <v>31</v>
      </c>
      <c r="I380" s="92">
        <v>0</v>
      </c>
      <c r="J380" s="92">
        <v>198</v>
      </c>
      <c r="K380" s="93">
        <v>16415</v>
      </c>
      <c r="L380" s="93">
        <f t="shared" si="5"/>
        <v>3250170</v>
      </c>
      <c r="M380" s="94" t="s">
        <v>727</v>
      </c>
      <c r="N380" s="92" t="s">
        <v>714</v>
      </c>
      <c r="O380" s="96" t="s">
        <v>728</v>
      </c>
    </row>
    <row r="381" spans="1:15" ht="15" customHeight="1" x14ac:dyDescent="0.25">
      <c r="A381" s="91" t="s">
        <v>1569</v>
      </c>
      <c r="B381" s="92" t="s">
        <v>720</v>
      </c>
      <c r="C381" s="92" t="s">
        <v>103</v>
      </c>
      <c r="D381" s="92" t="s">
        <v>697</v>
      </c>
      <c r="E381" s="92" t="s">
        <v>1289</v>
      </c>
      <c r="F381" s="92" t="s">
        <v>1570</v>
      </c>
      <c r="G381" s="92" t="s">
        <v>1570</v>
      </c>
      <c r="H381" s="92">
        <v>26</v>
      </c>
      <c r="I381" s="92">
        <v>0</v>
      </c>
      <c r="J381" s="92">
        <v>91</v>
      </c>
      <c r="K381" s="93">
        <v>3209</v>
      </c>
      <c r="L381" s="93">
        <f t="shared" si="5"/>
        <v>292019</v>
      </c>
      <c r="M381" s="94" t="s">
        <v>727</v>
      </c>
      <c r="N381" s="92" t="s">
        <v>693</v>
      </c>
      <c r="O381" s="96" t="s">
        <v>728</v>
      </c>
    </row>
    <row r="382" spans="1:15" ht="15" customHeight="1" x14ac:dyDescent="0.25">
      <c r="A382" s="91" t="s">
        <v>1571</v>
      </c>
      <c r="B382" s="92" t="s">
        <v>710</v>
      </c>
      <c r="C382" s="92" t="s">
        <v>96</v>
      </c>
      <c r="D382" s="92" t="s">
        <v>731</v>
      </c>
      <c r="E382" s="92" t="s">
        <v>1572</v>
      </c>
      <c r="F382" s="92" t="s">
        <v>1503</v>
      </c>
      <c r="G382" s="92" t="s">
        <v>1503</v>
      </c>
      <c r="H382" s="92">
        <v>18</v>
      </c>
      <c r="I382" s="92">
        <v>0</v>
      </c>
      <c r="J382" s="92">
        <v>120</v>
      </c>
      <c r="K382" s="93">
        <v>25098</v>
      </c>
      <c r="L382" s="93">
        <f t="shared" si="5"/>
        <v>3011760</v>
      </c>
      <c r="M382" s="94" t="s">
        <v>727</v>
      </c>
      <c r="N382" s="92" t="s">
        <v>693</v>
      </c>
      <c r="O382" s="96" t="s">
        <v>728</v>
      </c>
    </row>
    <row r="383" spans="1:15" ht="15" customHeight="1" x14ac:dyDescent="0.25">
      <c r="A383" s="91" t="s">
        <v>1573</v>
      </c>
      <c r="B383" s="92" t="s">
        <v>696</v>
      </c>
      <c r="C383" s="92" t="s">
        <v>96</v>
      </c>
      <c r="D383" s="92" t="s">
        <v>697</v>
      </c>
      <c r="E383" s="92" t="s">
        <v>938</v>
      </c>
      <c r="F383" s="92" t="s">
        <v>1007</v>
      </c>
      <c r="G383" s="92" t="s">
        <v>1007</v>
      </c>
      <c r="H383" s="92">
        <v>10</v>
      </c>
      <c r="I383" s="92">
        <v>0</v>
      </c>
      <c r="J383" s="92">
        <v>441</v>
      </c>
      <c r="K383" s="93">
        <v>77379</v>
      </c>
      <c r="L383" s="93">
        <f t="shared" si="5"/>
        <v>34124139</v>
      </c>
      <c r="M383" s="94" t="s">
        <v>727</v>
      </c>
      <c r="N383" s="92" t="s">
        <v>708</v>
      </c>
      <c r="O383" s="96" t="s">
        <v>728</v>
      </c>
    </row>
    <row r="384" spans="1:15" ht="15" customHeight="1" x14ac:dyDescent="0.25">
      <c r="A384" s="91" t="s">
        <v>1574</v>
      </c>
      <c r="B384" s="92" t="s">
        <v>780</v>
      </c>
      <c r="C384" s="92" t="s">
        <v>86</v>
      </c>
      <c r="D384" s="92" t="s">
        <v>716</v>
      </c>
      <c r="E384" s="92" t="s">
        <v>1358</v>
      </c>
      <c r="F384" s="92" t="s">
        <v>740</v>
      </c>
      <c r="G384" s="92" t="s">
        <v>740</v>
      </c>
      <c r="H384" s="92">
        <v>15</v>
      </c>
      <c r="I384" s="92">
        <v>0</v>
      </c>
      <c r="J384" s="92">
        <v>200</v>
      </c>
      <c r="K384" s="93">
        <v>81206</v>
      </c>
      <c r="L384" s="93">
        <f t="shared" si="5"/>
        <v>16241200</v>
      </c>
      <c r="M384" s="94" t="s">
        <v>727</v>
      </c>
      <c r="N384" s="92" t="s">
        <v>742</v>
      </c>
      <c r="O384" s="96" t="s">
        <v>728</v>
      </c>
    </row>
    <row r="385" spans="1:15" ht="15" customHeight="1" x14ac:dyDescent="0.25">
      <c r="A385" s="91" t="s">
        <v>1575</v>
      </c>
      <c r="B385" s="92" t="s">
        <v>780</v>
      </c>
      <c r="C385" s="92" t="s">
        <v>86</v>
      </c>
      <c r="D385" s="92" t="s">
        <v>689</v>
      </c>
      <c r="E385" s="92" t="s">
        <v>406</v>
      </c>
      <c r="F385" s="92" t="s">
        <v>1576</v>
      </c>
      <c r="G385" s="92" t="s">
        <v>1576</v>
      </c>
      <c r="H385" s="92">
        <v>26</v>
      </c>
      <c r="I385" s="92">
        <v>0</v>
      </c>
      <c r="J385" s="92">
        <v>82</v>
      </c>
      <c r="K385" s="93">
        <v>51513</v>
      </c>
      <c r="L385" s="93">
        <f t="shared" si="5"/>
        <v>4224066</v>
      </c>
      <c r="M385" s="94" t="s">
        <v>727</v>
      </c>
      <c r="N385" s="92" t="s">
        <v>701</v>
      </c>
      <c r="O385" s="96" t="s">
        <v>728</v>
      </c>
    </row>
    <row r="386" spans="1:15" ht="15" customHeight="1" x14ac:dyDescent="0.25">
      <c r="A386" s="91" t="s">
        <v>1577</v>
      </c>
      <c r="B386" s="92" t="s">
        <v>730</v>
      </c>
      <c r="C386" s="92" t="s">
        <v>131</v>
      </c>
      <c r="D386" s="92" t="s">
        <v>689</v>
      </c>
      <c r="E386" s="92" t="s">
        <v>1578</v>
      </c>
      <c r="F386" s="92" t="s">
        <v>1579</v>
      </c>
      <c r="G386" s="92"/>
      <c r="H386" s="92">
        <v>39</v>
      </c>
      <c r="I386" s="92">
        <v>0</v>
      </c>
      <c r="J386" s="92">
        <v>235</v>
      </c>
      <c r="K386" s="93">
        <v>23775</v>
      </c>
      <c r="L386" s="93">
        <f t="shared" ref="L386:L449" si="6">J386*K386</f>
        <v>5587125</v>
      </c>
      <c r="M386" s="92" t="s">
        <v>692</v>
      </c>
      <c r="N386" s="92" t="s">
        <v>714</v>
      </c>
      <c r="O386" s="95" t="s">
        <v>694</v>
      </c>
    </row>
    <row r="387" spans="1:15" ht="15" customHeight="1" x14ac:dyDescent="0.25">
      <c r="A387" s="91" t="s">
        <v>1580</v>
      </c>
      <c r="B387" s="92" t="s">
        <v>780</v>
      </c>
      <c r="C387" s="92" t="s">
        <v>86</v>
      </c>
      <c r="D387" s="92" t="s">
        <v>697</v>
      </c>
      <c r="E387" s="92" t="s">
        <v>1093</v>
      </c>
      <c r="F387" s="92" t="s">
        <v>1028</v>
      </c>
      <c r="G387" s="92"/>
      <c r="H387" s="92">
        <v>11</v>
      </c>
      <c r="I387" s="92">
        <v>0</v>
      </c>
      <c r="J387" s="92">
        <v>310</v>
      </c>
      <c r="K387" s="93">
        <v>68739</v>
      </c>
      <c r="L387" s="93">
        <f t="shared" si="6"/>
        <v>21309090</v>
      </c>
      <c r="M387" s="92" t="s">
        <v>692</v>
      </c>
      <c r="N387" s="92" t="s">
        <v>693</v>
      </c>
      <c r="O387" s="95" t="s">
        <v>694</v>
      </c>
    </row>
    <row r="388" spans="1:15" ht="15" customHeight="1" x14ac:dyDescent="0.25">
      <c r="A388" s="91" t="s">
        <v>1581</v>
      </c>
      <c r="B388" s="92" t="s">
        <v>720</v>
      </c>
      <c r="C388" s="92" t="s">
        <v>103</v>
      </c>
      <c r="D388" s="92" t="s">
        <v>697</v>
      </c>
      <c r="E388" s="92" t="s">
        <v>907</v>
      </c>
      <c r="F388" s="92" t="s">
        <v>905</v>
      </c>
      <c r="G388" s="92" t="s">
        <v>905</v>
      </c>
      <c r="H388" s="92">
        <v>36</v>
      </c>
      <c r="I388" s="92">
        <v>0</v>
      </c>
      <c r="J388" s="92">
        <v>148</v>
      </c>
      <c r="K388" s="93">
        <v>55112</v>
      </c>
      <c r="L388" s="93">
        <f t="shared" si="6"/>
        <v>8156576</v>
      </c>
      <c r="M388" s="94" t="s">
        <v>727</v>
      </c>
      <c r="N388" s="92" t="s">
        <v>708</v>
      </c>
      <c r="O388" s="96" t="s">
        <v>728</v>
      </c>
    </row>
    <row r="389" spans="1:15" ht="15" customHeight="1" x14ac:dyDescent="0.25">
      <c r="A389" s="91" t="s">
        <v>1582</v>
      </c>
      <c r="B389" s="92" t="s">
        <v>720</v>
      </c>
      <c r="C389" s="92" t="s">
        <v>103</v>
      </c>
      <c r="D389" s="92" t="s">
        <v>724</v>
      </c>
      <c r="E389" s="92" t="s">
        <v>840</v>
      </c>
      <c r="F389" s="92" t="s">
        <v>1138</v>
      </c>
      <c r="G389" s="92"/>
      <c r="H389" s="92">
        <v>32</v>
      </c>
      <c r="I389" s="92">
        <v>0</v>
      </c>
      <c r="J389" s="92">
        <v>415</v>
      </c>
      <c r="K389" s="93">
        <v>72312</v>
      </c>
      <c r="L389" s="93">
        <f t="shared" si="6"/>
        <v>30009480</v>
      </c>
      <c r="M389" s="92" t="s">
        <v>692</v>
      </c>
      <c r="N389" s="92" t="s">
        <v>708</v>
      </c>
      <c r="O389" s="95" t="s">
        <v>694</v>
      </c>
    </row>
    <row r="390" spans="1:15" ht="15" customHeight="1" x14ac:dyDescent="0.25">
      <c r="A390" s="91" t="s">
        <v>1583</v>
      </c>
      <c r="B390" s="92" t="s">
        <v>753</v>
      </c>
      <c r="C390" s="92" t="s">
        <v>51</v>
      </c>
      <c r="D390" s="92" t="s">
        <v>711</v>
      </c>
      <c r="E390" s="92" t="s">
        <v>1584</v>
      </c>
      <c r="F390" s="92" t="s">
        <v>1585</v>
      </c>
      <c r="G390" s="92" t="s">
        <v>1585</v>
      </c>
      <c r="H390" s="92">
        <v>34</v>
      </c>
      <c r="I390" s="92">
        <v>0</v>
      </c>
      <c r="J390" s="92">
        <v>292</v>
      </c>
      <c r="K390" s="93">
        <v>8573</v>
      </c>
      <c r="L390" s="93">
        <f t="shared" si="6"/>
        <v>2503316</v>
      </c>
      <c r="M390" s="94" t="s">
        <v>727</v>
      </c>
      <c r="N390" s="92" t="s">
        <v>714</v>
      </c>
      <c r="O390" s="96" t="s">
        <v>728</v>
      </c>
    </row>
    <row r="391" spans="1:15" ht="15" customHeight="1" x14ac:dyDescent="0.25">
      <c r="A391" s="91" t="s">
        <v>1586</v>
      </c>
      <c r="B391" s="92" t="s">
        <v>753</v>
      </c>
      <c r="C391" s="92" t="s">
        <v>51</v>
      </c>
      <c r="D391" s="92" t="s">
        <v>711</v>
      </c>
      <c r="E391" s="92" t="s">
        <v>439</v>
      </c>
      <c r="F391" s="92" t="s">
        <v>1587</v>
      </c>
      <c r="G391" s="92"/>
      <c r="H391" s="92">
        <v>24</v>
      </c>
      <c r="I391" s="92">
        <v>0</v>
      </c>
      <c r="J391" s="92">
        <v>276</v>
      </c>
      <c r="K391" s="93">
        <v>25165</v>
      </c>
      <c r="L391" s="93">
        <f t="shared" si="6"/>
        <v>6945540</v>
      </c>
      <c r="M391" s="94" t="s">
        <v>759</v>
      </c>
      <c r="N391" s="92" t="s">
        <v>714</v>
      </c>
      <c r="O391" s="95" t="s">
        <v>694</v>
      </c>
    </row>
    <row r="392" spans="1:15" ht="15" customHeight="1" x14ac:dyDescent="0.25">
      <c r="A392" s="91" t="s">
        <v>1588</v>
      </c>
      <c r="B392" s="92" t="s">
        <v>753</v>
      </c>
      <c r="C392" s="92" t="s">
        <v>51</v>
      </c>
      <c r="D392" s="92" t="s">
        <v>697</v>
      </c>
      <c r="E392" s="92" t="s">
        <v>993</v>
      </c>
      <c r="F392" s="92" t="s">
        <v>352</v>
      </c>
      <c r="G392" s="92"/>
      <c r="H392" s="92">
        <v>33</v>
      </c>
      <c r="I392" s="92">
        <v>20</v>
      </c>
      <c r="J392" s="92">
        <v>63</v>
      </c>
      <c r="K392" s="93">
        <v>84604</v>
      </c>
      <c r="L392" s="93">
        <f t="shared" si="6"/>
        <v>5330052</v>
      </c>
      <c r="M392" s="94" t="s">
        <v>700</v>
      </c>
      <c r="N392" s="92" t="s">
        <v>714</v>
      </c>
      <c r="O392" s="95" t="s">
        <v>694</v>
      </c>
    </row>
    <row r="393" spans="1:15" ht="15" customHeight="1" x14ac:dyDescent="0.25">
      <c r="A393" s="91" t="s">
        <v>1589</v>
      </c>
      <c r="B393" s="92" t="s">
        <v>696</v>
      </c>
      <c r="C393" s="92" t="s">
        <v>96</v>
      </c>
      <c r="D393" s="92" t="s">
        <v>705</v>
      </c>
      <c r="E393" s="92" t="s">
        <v>825</v>
      </c>
      <c r="F393" s="92" t="s">
        <v>1590</v>
      </c>
      <c r="G393" s="92" t="s">
        <v>1590</v>
      </c>
      <c r="H393" s="92">
        <v>33</v>
      </c>
      <c r="I393" s="92">
        <v>0</v>
      </c>
      <c r="J393" s="92">
        <v>23</v>
      </c>
      <c r="K393" s="93">
        <v>39553</v>
      </c>
      <c r="L393" s="93">
        <f t="shared" si="6"/>
        <v>909719</v>
      </c>
      <c r="M393" s="94" t="s">
        <v>727</v>
      </c>
      <c r="N393" s="92" t="s">
        <v>714</v>
      </c>
      <c r="O393" s="96" t="s">
        <v>728</v>
      </c>
    </row>
    <row r="394" spans="1:15" ht="15" customHeight="1" x14ac:dyDescent="0.25">
      <c r="A394" s="91" t="s">
        <v>1591</v>
      </c>
      <c r="B394" s="92" t="s">
        <v>710</v>
      </c>
      <c r="C394" s="92" t="s">
        <v>96</v>
      </c>
      <c r="D394" s="92" t="s">
        <v>787</v>
      </c>
      <c r="E394" s="92" t="s">
        <v>822</v>
      </c>
      <c r="F394" s="92" t="s">
        <v>842</v>
      </c>
      <c r="G394" s="92"/>
      <c r="H394" s="92">
        <v>28</v>
      </c>
      <c r="I394" s="92">
        <v>0</v>
      </c>
      <c r="J394" s="92">
        <v>439</v>
      </c>
      <c r="K394" s="93">
        <v>16927</v>
      </c>
      <c r="L394" s="93">
        <f t="shared" si="6"/>
        <v>7430953</v>
      </c>
      <c r="M394" s="92" t="s">
        <v>692</v>
      </c>
      <c r="N394" s="92" t="s">
        <v>714</v>
      </c>
      <c r="O394" s="95" t="s">
        <v>694</v>
      </c>
    </row>
    <row r="395" spans="1:15" ht="15" customHeight="1" x14ac:dyDescent="0.25">
      <c r="A395" s="91" t="s">
        <v>1592</v>
      </c>
      <c r="B395" s="92" t="s">
        <v>735</v>
      </c>
      <c r="C395" s="92" t="s">
        <v>51</v>
      </c>
      <c r="D395" s="92" t="s">
        <v>724</v>
      </c>
      <c r="E395" s="92" t="s">
        <v>1453</v>
      </c>
      <c r="F395" s="92" t="s">
        <v>988</v>
      </c>
      <c r="G395" s="92"/>
      <c r="H395" s="92">
        <v>14</v>
      </c>
      <c r="I395" s="92">
        <v>0</v>
      </c>
      <c r="J395" s="92">
        <v>70</v>
      </c>
      <c r="K395" s="93">
        <v>28141</v>
      </c>
      <c r="L395" s="93">
        <f t="shared" si="6"/>
        <v>1969870</v>
      </c>
      <c r="M395" s="92" t="s">
        <v>692</v>
      </c>
      <c r="N395" s="92" t="s">
        <v>708</v>
      </c>
      <c r="O395" s="95" t="s">
        <v>694</v>
      </c>
    </row>
    <row r="396" spans="1:15" ht="15" customHeight="1" x14ac:dyDescent="0.25">
      <c r="A396" s="91" t="s">
        <v>1593</v>
      </c>
      <c r="B396" s="92" t="s">
        <v>710</v>
      </c>
      <c r="C396" s="92" t="s">
        <v>96</v>
      </c>
      <c r="D396" s="92" t="s">
        <v>697</v>
      </c>
      <c r="E396" s="92" t="s">
        <v>402</v>
      </c>
      <c r="F396" s="92" t="s">
        <v>1552</v>
      </c>
      <c r="G396" s="92" t="s">
        <v>1552</v>
      </c>
      <c r="H396" s="92">
        <v>11</v>
      </c>
      <c r="I396" s="92">
        <v>0</v>
      </c>
      <c r="J396" s="92">
        <v>487</v>
      </c>
      <c r="K396" s="93">
        <v>37488</v>
      </c>
      <c r="L396" s="93">
        <f t="shared" si="6"/>
        <v>18256656</v>
      </c>
      <c r="M396" s="94" t="s">
        <v>727</v>
      </c>
      <c r="N396" s="92" t="s">
        <v>708</v>
      </c>
      <c r="O396" s="96" t="s">
        <v>728</v>
      </c>
    </row>
    <row r="397" spans="1:15" ht="15" customHeight="1" x14ac:dyDescent="0.25">
      <c r="A397" s="91" t="s">
        <v>1594</v>
      </c>
      <c r="B397" s="92" t="s">
        <v>703</v>
      </c>
      <c r="C397" s="92" t="s">
        <v>704</v>
      </c>
      <c r="D397" s="92" t="s">
        <v>711</v>
      </c>
      <c r="E397" s="92" t="s">
        <v>1595</v>
      </c>
      <c r="F397" s="92" t="s">
        <v>773</v>
      </c>
      <c r="G397" s="92"/>
      <c r="H397" s="92">
        <v>17</v>
      </c>
      <c r="I397" s="92">
        <v>0</v>
      </c>
      <c r="J397" s="92">
        <v>311</v>
      </c>
      <c r="K397" s="93">
        <v>8994</v>
      </c>
      <c r="L397" s="93">
        <f t="shared" si="6"/>
        <v>2797134</v>
      </c>
      <c r="M397" s="92" t="s">
        <v>692</v>
      </c>
      <c r="N397" s="92" t="s">
        <v>701</v>
      </c>
      <c r="O397" s="95" t="s">
        <v>694</v>
      </c>
    </row>
    <row r="398" spans="1:15" ht="15" customHeight="1" x14ac:dyDescent="0.25">
      <c r="A398" s="91" t="s">
        <v>1596</v>
      </c>
      <c r="B398" s="92" t="s">
        <v>696</v>
      </c>
      <c r="C398" s="92" t="s">
        <v>96</v>
      </c>
      <c r="D398" s="92" t="s">
        <v>787</v>
      </c>
      <c r="E398" s="92" t="s">
        <v>1597</v>
      </c>
      <c r="F398" s="92" t="s">
        <v>1413</v>
      </c>
      <c r="G398" s="92" t="s">
        <v>1413</v>
      </c>
      <c r="H398" s="92">
        <v>17</v>
      </c>
      <c r="I398" s="92">
        <v>0</v>
      </c>
      <c r="J398" s="92">
        <v>140</v>
      </c>
      <c r="K398" s="93">
        <v>13470</v>
      </c>
      <c r="L398" s="93">
        <f t="shared" si="6"/>
        <v>1885800</v>
      </c>
      <c r="M398" s="94" t="s">
        <v>727</v>
      </c>
      <c r="N398" s="92" t="s">
        <v>701</v>
      </c>
      <c r="O398" s="96" t="s">
        <v>728</v>
      </c>
    </row>
    <row r="399" spans="1:15" ht="15" customHeight="1" x14ac:dyDescent="0.25">
      <c r="A399" s="91" t="s">
        <v>1598</v>
      </c>
      <c r="B399" s="92" t="s">
        <v>780</v>
      </c>
      <c r="C399" s="92" t="s">
        <v>86</v>
      </c>
      <c r="D399" s="92" t="s">
        <v>689</v>
      </c>
      <c r="E399" s="92" t="s">
        <v>1058</v>
      </c>
      <c r="F399" s="92" t="s">
        <v>1382</v>
      </c>
      <c r="G399" s="92"/>
      <c r="H399" s="92">
        <v>9</v>
      </c>
      <c r="I399" s="92">
        <v>0</v>
      </c>
      <c r="J399" s="92">
        <v>273</v>
      </c>
      <c r="K399" s="93">
        <v>18766</v>
      </c>
      <c r="L399" s="93">
        <f t="shared" si="6"/>
        <v>5123118</v>
      </c>
      <c r="M399" s="94" t="s">
        <v>759</v>
      </c>
      <c r="N399" s="92" t="s">
        <v>714</v>
      </c>
      <c r="O399" s="95" t="s">
        <v>694</v>
      </c>
    </row>
    <row r="400" spans="1:15" ht="15" customHeight="1" x14ac:dyDescent="0.25">
      <c r="A400" s="91" t="s">
        <v>1599</v>
      </c>
      <c r="B400" s="92" t="s">
        <v>688</v>
      </c>
      <c r="C400" s="92" t="s">
        <v>68</v>
      </c>
      <c r="D400" s="92" t="s">
        <v>716</v>
      </c>
      <c r="E400" s="92" t="s">
        <v>1600</v>
      </c>
      <c r="F400" s="92" t="s">
        <v>1208</v>
      </c>
      <c r="G400" s="92"/>
      <c r="H400" s="92">
        <v>31</v>
      </c>
      <c r="I400" s="92">
        <v>0</v>
      </c>
      <c r="J400" s="92">
        <v>228</v>
      </c>
      <c r="K400" s="93">
        <v>4929</v>
      </c>
      <c r="L400" s="93">
        <f t="shared" si="6"/>
        <v>1123812</v>
      </c>
      <c r="M400" s="92" t="s">
        <v>692</v>
      </c>
      <c r="N400" s="92" t="s">
        <v>714</v>
      </c>
      <c r="O400" s="95" t="s">
        <v>694</v>
      </c>
    </row>
    <row r="401" spans="1:15" ht="15" customHeight="1" x14ac:dyDescent="0.25">
      <c r="A401" s="91" t="s">
        <v>1601</v>
      </c>
      <c r="B401" s="92" t="s">
        <v>735</v>
      </c>
      <c r="C401" s="92" t="s">
        <v>51</v>
      </c>
      <c r="D401" s="92" t="s">
        <v>787</v>
      </c>
      <c r="E401" s="92" t="s">
        <v>833</v>
      </c>
      <c r="F401" s="92" t="s">
        <v>1602</v>
      </c>
      <c r="G401" s="92"/>
      <c r="H401" s="92">
        <v>19</v>
      </c>
      <c r="I401" s="92">
        <v>14</v>
      </c>
      <c r="J401" s="92">
        <v>466</v>
      </c>
      <c r="K401" s="93">
        <v>20657</v>
      </c>
      <c r="L401" s="93">
        <f t="shared" si="6"/>
        <v>9626162</v>
      </c>
      <c r="M401" s="94" t="s">
        <v>700</v>
      </c>
      <c r="N401" s="92" t="s">
        <v>714</v>
      </c>
      <c r="O401" s="95" t="s">
        <v>694</v>
      </c>
    </row>
    <row r="402" spans="1:15" ht="15" customHeight="1" x14ac:dyDescent="0.25">
      <c r="A402" s="91" t="s">
        <v>1603</v>
      </c>
      <c r="B402" s="92" t="s">
        <v>735</v>
      </c>
      <c r="C402" s="92" t="s">
        <v>51</v>
      </c>
      <c r="D402" s="92" t="s">
        <v>787</v>
      </c>
      <c r="E402" s="92" t="s">
        <v>1604</v>
      </c>
      <c r="F402" s="92" t="s">
        <v>1279</v>
      </c>
      <c r="G402" s="92"/>
      <c r="H402" s="92">
        <v>8</v>
      </c>
      <c r="I402" s="92">
        <v>13</v>
      </c>
      <c r="J402" s="92">
        <v>421</v>
      </c>
      <c r="K402" s="93">
        <v>16737</v>
      </c>
      <c r="L402" s="93">
        <f t="shared" si="6"/>
        <v>7046277</v>
      </c>
      <c r="M402" s="94" t="s">
        <v>700</v>
      </c>
      <c r="N402" s="92" t="s">
        <v>714</v>
      </c>
      <c r="O402" s="95" t="s">
        <v>694</v>
      </c>
    </row>
    <row r="403" spans="1:15" ht="15" customHeight="1" x14ac:dyDescent="0.25">
      <c r="A403" s="91" t="s">
        <v>1605</v>
      </c>
      <c r="B403" s="92" t="s">
        <v>753</v>
      </c>
      <c r="C403" s="92" t="s">
        <v>51</v>
      </c>
      <c r="D403" s="92" t="s">
        <v>716</v>
      </c>
      <c r="E403" s="92" t="s">
        <v>1606</v>
      </c>
      <c r="F403" s="92" t="s">
        <v>1099</v>
      </c>
      <c r="G403" s="92"/>
      <c r="H403" s="92">
        <v>17</v>
      </c>
      <c r="I403" s="92">
        <v>0</v>
      </c>
      <c r="J403" s="92">
        <v>23</v>
      </c>
      <c r="K403" s="93">
        <v>35625</v>
      </c>
      <c r="L403" s="93">
        <f t="shared" si="6"/>
        <v>819375</v>
      </c>
      <c r="M403" s="92" t="s">
        <v>692</v>
      </c>
      <c r="N403" s="92" t="s">
        <v>714</v>
      </c>
      <c r="O403" s="95" t="s">
        <v>694</v>
      </c>
    </row>
    <row r="404" spans="1:15" ht="15" customHeight="1" x14ac:dyDescent="0.25">
      <c r="A404" s="91" t="s">
        <v>1607</v>
      </c>
      <c r="B404" s="92" t="s">
        <v>720</v>
      </c>
      <c r="C404" s="92" t="s">
        <v>103</v>
      </c>
      <c r="D404" s="92" t="s">
        <v>705</v>
      </c>
      <c r="E404" s="92" t="s">
        <v>726</v>
      </c>
      <c r="F404" s="92" t="s">
        <v>398</v>
      </c>
      <c r="G404" s="92"/>
      <c r="H404" s="92">
        <v>42</v>
      </c>
      <c r="I404" s="92">
        <v>0</v>
      </c>
      <c r="J404" s="92">
        <v>320</v>
      </c>
      <c r="K404" s="93">
        <v>18002</v>
      </c>
      <c r="L404" s="93">
        <f t="shared" si="6"/>
        <v>5760640</v>
      </c>
      <c r="M404" s="92" t="s">
        <v>692</v>
      </c>
      <c r="N404" s="92" t="s">
        <v>693</v>
      </c>
      <c r="O404" s="95" t="s">
        <v>694</v>
      </c>
    </row>
    <row r="405" spans="1:15" ht="15" customHeight="1" x14ac:dyDescent="0.25">
      <c r="A405" s="91" t="s">
        <v>1608</v>
      </c>
      <c r="B405" s="92" t="s">
        <v>739</v>
      </c>
      <c r="C405" s="92" t="s">
        <v>51</v>
      </c>
      <c r="D405" s="92" t="s">
        <v>787</v>
      </c>
      <c r="E405" s="92" t="s">
        <v>1077</v>
      </c>
      <c r="F405" s="92" t="s">
        <v>858</v>
      </c>
      <c r="G405" s="92" t="s">
        <v>858</v>
      </c>
      <c r="H405" s="92">
        <v>14</v>
      </c>
      <c r="I405" s="92">
        <v>0</v>
      </c>
      <c r="J405" s="92">
        <v>89</v>
      </c>
      <c r="K405" s="93">
        <v>1767</v>
      </c>
      <c r="L405" s="93">
        <f t="shared" si="6"/>
        <v>157263</v>
      </c>
      <c r="M405" s="94" t="s">
        <v>727</v>
      </c>
      <c r="N405" s="92" t="s">
        <v>701</v>
      </c>
      <c r="O405" s="96" t="s">
        <v>728</v>
      </c>
    </row>
    <row r="406" spans="1:15" ht="15" customHeight="1" x14ac:dyDescent="0.25">
      <c r="A406" s="91" t="s">
        <v>1609</v>
      </c>
      <c r="B406" s="92" t="s">
        <v>735</v>
      </c>
      <c r="C406" s="92" t="s">
        <v>51</v>
      </c>
      <c r="D406" s="92" t="s">
        <v>787</v>
      </c>
      <c r="E406" s="92" t="s">
        <v>1164</v>
      </c>
      <c r="F406" s="92" t="s">
        <v>1210</v>
      </c>
      <c r="G406" s="92" t="s">
        <v>1210</v>
      </c>
      <c r="H406" s="92">
        <v>20</v>
      </c>
      <c r="I406" s="92">
        <v>0</v>
      </c>
      <c r="J406" s="92">
        <v>143</v>
      </c>
      <c r="K406" s="93">
        <v>55420</v>
      </c>
      <c r="L406" s="93">
        <f t="shared" si="6"/>
        <v>7925060</v>
      </c>
      <c r="M406" s="94" t="s">
        <v>727</v>
      </c>
      <c r="N406" s="92" t="s">
        <v>701</v>
      </c>
      <c r="O406" s="96" t="s">
        <v>728</v>
      </c>
    </row>
    <row r="407" spans="1:15" ht="15" customHeight="1" x14ac:dyDescent="0.25">
      <c r="A407" s="91" t="s">
        <v>1610</v>
      </c>
      <c r="B407" s="92" t="s">
        <v>735</v>
      </c>
      <c r="C407" s="92" t="s">
        <v>51</v>
      </c>
      <c r="D407" s="92" t="s">
        <v>716</v>
      </c>
      <c r="E407" s="92" t="s">
        <v>1611</v>
      </c>
      <c r="F407" s="92" t="s">
        <v>802</v>
      </c>
      <c r="G407" s="92" t="s">
        <v>802</v>
      </c>
      <c r="H407" s="92">
        <v>20</v>
      </c>
      <c r="I407" s="92">
        <v>0</v>
      </c>
      <c r="J407" s="92">
        <v>53</v>
      </c>
      <c r="K407" s="93">
        <v>60709</v>
      </c>
      <c r="L407" s="93">
        <f t="shared" si="6"/>
        <v>3217577</v>
      </c>
      <c r="M407" s="94" t="s">
        <v>727</v>
      </c>
      <c r="N407" s="92" t="s">
        <v>693</v>
      </c>
      <c r="O407" s="96" t="s">
        <v>728</v>
      </c>
    </row>
    <row r="408" spans="1:15" ht="15" customHeight="1" x14ac:dyDescent="0.25">
      <c r="A408" s="91" t="s">
        <v>1612</v>
      </c>
      <c r="B408" s="92" t="s">
        <v>780</v>
      </c>
      <c r="C408" s="92" t="s">
        <v>86</v>
      </c>
      <c r="D408" s="92" t="s">
        <v>724</v>
      </c>
      <c r="E408" s="92" t="s">
        <v>1613</v>
      </c>
      <c r="F408" s="92" t="s">
        <v>1614</v>
      </c>
      <c r="G408" s="92" t="s">
        <v>1614</v>
      </c>
      <c r="H408" s="92">
        <v>13</v>
      </c>
      <c r="I408" s="92">
        <v>0</v>
      </c>
      <c r="J408" s="92">
        <v>348</v>
      </c>
      <c r="K408" s="93">
        <v>78625</v>
      </c>
      <c r="L408" s="93">
        <f t="shared" si="6"/>
        <v>27361500</v>
      </c>
      <c r="M408" s="94" t="s">
        <v>727</v>
      </c>
      <c r="N408" s="92" t="s">
        <v>742</v>
      </c>
      <c r="O408" s="96" t="s">
        <v>728</v>
      </c>
    </row>
    <row r="409" spans="1:15" ht="15" customHeight="1" x14ac:dyDescent="0.25">
      <c r="A409" s="91" t="s">
        <v>1615</v>
      </c>
      <c r="B409" s="92" t="s">
        <v>720</v>
      </c>
      <c r="C409" s="92" t="s">
        <v>103</v>
      </c>
      <c r="D409" s="92" t="s">
        <v>711</v>
      </c>
      <c r="E409" s="92" t="s">
        <v>367</v>
      </c>
      <c r="F409" s="92" t="s">
        <v>707</v>
      </c>
      <c r="G409" s="92"/>
      <c r="H409" s="92">
        <v>27</v>
      </c>
      <c r="I409" s="92">
        <v>18</v>
      </c>
      <c r="J409" s="92">
        <v>35</v>
      </c>
      <c r="K409" s="93">
        <v>28816</v>
      </c>
      <c r="L409" s="93">
        <f t="shared" si="6"/>
        <v>1008560</v>
      </c>
      <c r="M409" s="94" t="s">
        <v>700</v>
      </c>
      <c r="N409" s="92" t="s">
        <v>693</v>
      </c>
      <c r="O409" s="95" t="s">
        <v>694</v>
      </c>
    </row>
    <row r="410" spans="1:15" ht="15" customHeight="1" x14ac:dyDescent="0.25">
      <c r="A410" s="91" t="s">
        <v>1616</v>
      </c>
      <c r="B410" s="92" t="s">
        <v>730</v>
      </c>
      <c r="C410" s="92" t="s">
        <v>131</v>
      </c>
      <c r="D410" s="92" t="s">
        <v>697</v>
      </c>
      <c r="E410" s="92" t="s">
        <v>1096</v>
      </c>
      <c r="F410" s="92" t="s">
        <v>1617</v>
      </c>
      <c r="G410" s="92" t="s">
        <v>1617</v>
      </c>
      <c r="H410" s="92">
        <v>31</v>
      </c>
      <c r="I410" s="92">
        <v>0</v>
      </c>
      <c r="J410" s="92">
        <v>301</v>
      </c>
      <c r="K410" s="93">
        <v>60041</v>
      </c>
      <c r="L410" s="93">
        <f t="shared" si="6"/>
        <v>18072341</v>
      </c>
      <c r="M410" s="94" t="s">
        <v>727</v>
      </c>
      <c r="N410" s="92" t="s">
        <v>714</v>
      </c>
      <c r="O410" s="96" t="s">
        <v>728</v>
      </c>
    </row>
    <row r="411" spans="1:15" ht="15" customHeight="1" x14ac:dyDescent="0.25">
      <c r="A411" s="91" t="s">
        <v>1618</v>
      </c>
      <c r="B411" s="92" t="s">
        <v>753</v>
      </c>
      <c r="C411" s="92" t="s">
        <v>51</v>
      </c>
      <c r="D411" s="92" t="s">
        <v>731</v>
      </c>
      <c r="E411" s="92" t="s">
        <v>1441</v>
      </c>
      <c r="F411" s="92" t="s">
        <v>1570</v>
      </c>
      <c r="G411" s="92" t="s">
        <v>1570</v>
      </c>
      <c r="H411" s="92">
        <v>14</v>
      </c>
      <c r="I411" s="92">
        <v>0</v>
      </c>
      <c r="J411" s="92">
        <v>125</v>
      </c>
      <c r="K411" s="93">
        <v>52870</v>
      </c>
      <c r="L411" s="93">
        <f t="shared" si="6"/>
        <v>6608750</v>
      </c>
      <c r="M411" s="94" t="s">
        <v>727</v>
      </c>
      <c r="N411" s="92" t="s">
        <v>714</v>
      </c>
      <c r="O411" s="96" t="s">
        <v>728</v>
      </c>
    </row>
    <row r="412" spans="1:15" ht="15" customHeight="1" x14ac:dyDescent="0.25">
      <c r="A412" s="91" t="s">
        <v>1619</v>
      </c>
      <c r="B412" s="92" t="s">
        <v>780</v>
      </c>
      <c r="C412" s="92" t="s">
        <v>86</v>
      </c>
      <c r="D412" s="92" t="s">
        <v>705</v>
      </c>
      <c r="E412" s="92" t="s">
        <v>1329</v>
      </c>
      <c r="F412" s="92" t="s">
        <v>917</v>
      </c>
      <c r="G412" s="92" t="s">
        <v>917</v>
      </c>
      <c r="H412" s="92">
        <v>38</v>
      </c>
      <c r="I412" s="92">
        <v>0</v>
      </c>
      <c r="J412" s="92">
        <v>329</v>
      </c>
      <c r="K412" s="93">
        <v>3703</v>
      </c>
      <c r="L412" s="93">
        <f t="shared" si="6"/>
        <v>1218287</v>
      </c>
      <c r="M412" s="94" t="s">
        <v>727</v>
      </c>
      <c r="N412" s="92" t="s">
        <v>693</v>
      </c>
      <c r="O412" s="96" t="s">
        <v>728</v>
      </c>
    </row>
    <row r="413" spans="1:15" ht="15" customHeight="1" x14ac:dyDescent="0.25">
      <c r="A413" s="91" t="s">
        <v>1620</v>
      </c>
      <c r="B413" s="92" t="s">
        <v>710</v>
      </c>
      <c r="C413" s="92" t="s">
        <v>96</v>
      </c>
      <c r="D413" s="92" t="s">
        <v>705</v>
      </c>
      <c r="E413" s="92" t="s">
        <v>911</v>
      </c>
      <c r="F413" s="92" t="s">
        <v>884</v>
      </c>
      <c r="G413" s="92" t="s">
        <v>884</v>
      </c>
      <c r="H413" s="92">
        <v>15</v>
      </c>
      <c r="I413" s="92">
        <v>0</v>
      </c>
      <c r="J413" s="92">
        <v>21</v>
      </c>
      <c r="K413" s="93">
        <v>44514</v>
      </c>
      <c r="L413" s="93">
        <f t="shared" si="6"/>
        <v>934794</v>
      </c>
      <c r="M413" s="94" t="s">
        <v>727</v>
      </c>
      <c r="N413" s="92" t="s">
        <v>708</v>
      </c>
      <c r="O413" s="96" t="s">
        <v>728</v>
      </c>
    </row>
    <row r="414" spans="1:15" ht="15" customHeight="1" x14ac:dyDescent="0.25">
      <c r="A414" s="91" t="s">
        <v>1621</v>
      </c>
      <c r="B414" s="92" t="s">
        <v>703</v>
      </c>
      <c r="C414" s="92" t="s">
        <v>704</v>
      </c>
      <c r="D414" s="92" t="s">
        <v>731</v>
      </c>
      <c r="E414" s="92" t="s">
        <v>1136</v>
      </c>
      <c r="F414" s="92" t="s">
        <v>1622</v>
      </c>
      <c r="G414" s="92"/>
      <c r="H414" s="92">
        <v>21</v>
      </c>
      <c r="I414" s="92">
        <v>0</v>
      </c>
      <c r="J414" s="92">
        <v>170</v>
      </c>
      <c r="K414" s="93">
        <v>29461</v>
      </c>
      <c r="L414" s="93">
        <f t="shared" si="6"/>
        <v>5008370</v>
      </c>
      <c r="M414" s="94" t="s">
        <v>759</v>
      </c>
      <c r="N414" s="92" t="s">
        <v>742</v>
      </c>
      <c r="O414" s="95" t="s">
        <v>694</v>
      </c>
    </row>
    <row r="415" spans="1:15" ht="15" customHeight="1" x14ac:dyDescent="0.25">
      <c r="A415" s="91" t="s">
        <v>1623</v>
      </c>
      <c r="B415" s="92" t="s">
        <v>688</v>
      </c>
      <c r="C415" s="92" t="s">
        <v>68</v>
      </c>
      <c r="D415" s="92" t="s">
        <v>731</v>
      </c>
      <c r="E415" s="92" t="s">
        <v>1430</v>
      </c>
      <c r="F415" s="92" t="s">
        <v>823</v>
      </c>
      <c r="G415" s="92"/>
      <c r="H415" s="92">
        <v>22</v>
      </c>
      <c r="I415" s="92">
        <v>0</v>
      </c>
      <c r="J415" s="92">
        <v>357</v>
      </c>
      <c r="K415" s="93">
        <v>61298</v>
      </c>
      <c r="L415" s="93">
        <f t="shared" si="6"/>
        <v>21883386</v>
      </c>
      <c r="M415" s="92" t="s">
        <v>692</v>
      </c>
      <c r="N415" s="92" t="s">
        <v>693</v>
      </c>
      <c r="O415" s="95" t="s">
        <v>694</v>
      </c>
    </row>
    <row r="416" spans="1:15" ht="15" customHeight="1" x14ac:dyDescent="0.25">
      <c r="A416" s="91" t="s">
        <v>1624</v>
      </c>
      <c r="B416" s="92" t="s">
        <v>739</v>
      </c>
      <c r="C416" s="92" t="s">
        <v>51</v>
      </c>
      <c r="D416" s="92" t="s">
        <v>705</v>
      </c>
      <c r="E416" s="92" t="s">
        <v>1625</v>
      </c>
      <c r="F416" s="92" t="s">
        <v>1388</v>
      </c>
      <c r="G416" s="92" t="s">
        <v>1388</v>
      </c>
      <c r="H416" s="92">
        <v>18</v>
      </c>
      <c r="I416" s="92">
        <v>0</v>
      </c>
      <c r="J416" s="92">
        <v>252</v>
      </c>
      <c r="K416" s="93">
        <v>6414</v>
      </c>
      <c r="L416" s="93">
        <f t="shared" si="6"/>
        <v>1616328</v>
      </c>
      <c r="M416" s="94" t="s">
        <v>727</v>
      </c>
      <c r="N416" s="92" t="s">
        <v>742</v>
      </c>
      <c r="O416" s="96" t="s">
        <v>728</v>
      </c>
    </row>
    <row r="417" spans="1:15" ht="15" customHeight="1" x14ac:dyDescent="0.25">
      <c r="A417" s="91" t="s">
        <v>1626</v>
      </c>
      <c r="B417" s="92" t="s">
        <v>735</v>
      </c>
      <c r="C417" s="92" t="s">
        <v>51</v>
      </c>
      <c r="D417" s="92" t="s">
        <v>711</v>
      </c>
      <c r="E417" s="92" t="s">
        <v>918</v>
      </c>
      <c r="F417" s="92" t="s">
        <v>1627</v>
      </c>
      <c r="G417" s="92" t="s">
        <v>1627</v>
      </c>
      <c r="H417" s="92">
        <v>20</v>
      </c>
      <c r="I417" s="92">
        <v>0</v>
      </c>
      <c r="J417" s="92">
        <v>426</v>
      </c>
      <c r="K417" s="93">
        <v>67697</v>
      </c>
      <c r="L417" s="93">
        <f t="shared" si="6"/>
        <v>28838922</v>
      </c>
      <c r="M417" s="94" t="s">
        <v>727</v>
      </c>
      <c r="N417" s="92" t="s">
        <v>742</v>
      </c>
      <c r="O417" s="96" t="s">
        <v>728</v>
      </c>
    </row>
    <row r="418" spans="1:15" ht="15" customHeight="1" x14ac:dyDescent="0.25">
      <c r="A418" s="91" t="s">
        <v>1628</v>
      </c>
      <c r="B418" s="92" t="s">
        <v>753</v>
      </c>
      <c r="C418" s="92" t="s">
        <v>51</v>
      </c>
      <c r="D418" s="92" t="s">
        <v>716</v>
      </c>
      <c r="E418" s="92" t="s">
        <v>1496</v>
      </c>
      <c r="F418" s="92" t="s">
        <v>1629</v>
      </c>
      <c r="G418" s="92"/>
      <c r="H418" s="92">
        <v>34</v>
      </c>
      <c r="I418" s="92">
        <v>0</v>
      </c>
      <c r="J418" s="92">
        <v>160</v>
      </c>
      <c r="K418" s="93">
        <v>14371</v>
      </c>
      <c r="L418" s="93">
        <f t="shared" si="6"/>
        <v>2299360</v>
      </c>
      <c r="M418" s="92" t="s">
        <v>692</v>
      </c>
      <c r="N418" s="92" t="s">
        <v>742</v>
      </c>
      <c r="O418" s="95" t="s">
        <v>694</v>
      </c>
    </row>
    <row r="419" spans="1:15" ht="15" customHeight="1" x14ac:dyDescent="0.25">
      <c r="A419" s="91" t="s">
        <v>1630</v>
      </c>
      <c r="B419" s="92" t="s">
        <v>753</v>
      </c>
      <c r="C419" s="92" t="s">
        <v>51</v>
      </c>
      <c r="D419" s="92" t="s">
        <v>787</v>
      </c>
      <c r="E419" s="92" t="s">
        <v>1631</v>
      </c>
      <c r="F419" s="92" t="s">
        <v>1632</v>
      </c>
      <c r="G419" s="92"/>
      <c r="H419" s="92">
        <v>18</v>
      </c>
      <c r="I419" s="92">
        <v>0</v>
      </c>
      <c r="J419" s="92">
        <v>156</v>
      </c>
      <c r="K419" s="93">
        <v>24612</v>
      </c>
      <c r="L419" s="93">
        <f t="shared" si="6"/>
        <v>3839472</v>
      </c>
      <c r="M419" s="92" t="s">
        <v>692</v>
      </c>
      <c r="N419" s="92" t="s">
        <v>708</v>
      </c>
      <c r="O419" s="95" t="s">
        <v>694</v>
      </c>
    </row>
    <row r="420" spans="1:15" ht="15" customHeight="1" x14ac:dyDescent="0.25">
      <c r="A420" s="91" t="s">
        <v>1633</v>
      </c>
      <c r="B420" s="92" t="s">
        <v>753</v>
      </c>
      <c r="C420" s="92" t="s">
        <v>51</v>
      </c>
      <c r="D420" s="92" t="s">
        <v>724</v>
      </c>
      <c r="E420" s="92" t="s">
        <v>1634</v>
      </c>
      <c r="F420" s="92" t="s">
        <v>427</v>
      </c>
      <c r="G420" s="92" t="s">
        <v>427</v>
      </c>
      <c r="H420" s="92">
        <v>37</v>
      </c>
      <c r="I420" s="92">
        <v>0</v>
      </c>
      <c r="J420" s="92">
        <v>86</v>
      </c>
      <c r="K420" s="93">
        <v>40275</v>
      </c>
      <c r="L420" s="93">
        <f t="shared" si="6"/>
        <v>3463650</v>
      </c>
      <c r="M420" s="94" t="s">
        <v>727</v>
      </c>
      <c r="N420" s="92" t="s">
        <v>708</v>
      </c>
      <c r="O420" s="96" t="s">
        <v>728</v>
      </c>
    </row>
    <row r="421" spans="1:15" ht="15" customHeight="1" x14ac:dyDescent="0.25">
      <c r="A421" s="91" t="s">
        <v>1635</v>
      </c>
      <c r="B421" s="92" t="s">
        <v>688</v>
      </c>
      <c r="C421" s="92" t="s">
        <v>68</v>
      </c>
      <c r="D421" s="92" t="s">
        <v>787</v>
      </c>
      <c r="E421" s="92" t="s">
        <v>1636</v>
      </c>
      <c r="F421" s="92" t="s">
        <v>1585</v>
      </c>
      <c r="G421" s="92"/>
      <c r="H421" s="92">
        <v>16</v>
      </c>
      <c r="I421" s="92">
        <v>0</v>
      </c>
      <c r="J421" s="92">
        <v>407</v>
      </c>
      <c r="K421" s="93">
        <v>41229</v>
      </c>
      <c r="L421" s="93">
        <f t="shared" si="6"/>
        <v>16780203</v>
      </c>
      <c r="M421" s="92" t="s">
        <v>692</v>
      </c>
      <c r="N421" s="92" t="s">
        <v>708</v>
      </c>
      <c r="O421" s="95" t="s">
        <v>694</v>
      </c>
    </row>
    <row r="422" spans="1:15" ht="15" customHeight="1" x14ac:dyDescent="0.25">
      <c r="A422" s="91" t="s">
        <v>1637</v>
      </c>
      <c r="B422" s="92" t="s">
        <v>739</v>
      </c>
      <c r="C422" s="92" t="s">
        <v>51</v>
      </c>
      <c r="D422" s="92" t="s">
        <v>716</v>
      </c>
      <c r="E422" s="92" t="s">
        <v>1536</v>
      </c>
      <c r="F422" s="92" t="s">
        <v>1638</v>
      </c>
      <c r="G422" s="92" t="s">
        <v>1638</v>
      </c>
      <c r="H422" s="92">
        <v>26</v>
      </c>
      <c r="I422" s="92">
        <v>0</v>
      </c>
      <c r="J422" s="92">
        <v>90</v>
      </c>
      <c r="K422" s="93">
        <v>22241</v>
      </c>
      <c r="L422" s="93">
        <f t="shared" si="6"/>
        <v>2001690</v>
      </c>
      <c r="M422" s="94" t="s">
        <v>727</v>
      </c>
      <c r="N422" s="92" t="s">
        <v>708</v>
      </c>
      <c r="O422" s="96" t="s">
        <v>728</v>
      </c>
    </row>
    <row r="423" spans="1:15" ht="15" customHeight="1" x14ac:dyDescent="0.25">
      <c r="A423" s="91" t="s">
        <v>1639</v>
      </c>
      <c r="B423" s="92" t="s">
        <v>703</v>
      </c>
      <c r="C423" s="92" t="s">
        <v>704</v>
      </c>
      <c r="D423" s="92" t="s">
        <v>697</v>
      </c>
      <c r="E423" s="92" t="s">
        <v>1640</v>
      </c>
      <c r="F423" s="92" t="s">
        <v>1430</v>
      </c>
      <c r="G423" s="92" t="s">
        <v>1430</v>
      </c>
      <c r="H423" s="92">
        <v>25</v>
      </c>
      <c r="I423" s="92">
        <v>0</v>
      </c>
      <c r="J423" s="92">
        <v>171</v>
      </c>
      <c r="K423" s="93">
        <v>12047</v>
      </c>
      <c r="L423" s="93">
        <f t="shared" si="6"/>
        <v>2060037</v>
      </c>
      <c r="M423" s="94" t="s">
        <v>727</v>
      </c>
      <c r="N423" s="92" t="s">
        <v>708</v>
      </c>
      <c r="O423" s="96" t="s">
        <v>728</v>
      </c>
    </row>
    <row r="424" spans="1:15" ht="15" customHeight="1" x14ac:dyDescent="0.25">
      <c r="A424" s="91" t="s">
        <v>1641</v>
      </c>
      <c r="B424" s="92" t="s">
        <v>753</v>
      </c>
      <c r="C424" s="92" t="s">
        <v>51</v>
      </c>
      <c r="D424" s="92" t="s">
        <v>711</v>
      </c>
      <c r="E424" s="92" t="s">
        <v>843</v>
      </c>
      <c r="F424" s="92" t="s">
        <v>1058</v>
      </c>
      <c r="G424" s="92" t="s">
        <v>1058</v>
      </c>
      <c r="H424" s="92">
        <v>19</v>
      </c>
      <c r="I424" s="92">
        <v>0</v>
      </c>
      <c r="J424" s="92">
        <v>372</v>
      </c>
      <c r="K424" s="93">
        <v>32125</v>
      </c>
      <c r="L424" s="93">
        <f t="shared" si="6"/>
        <v>11950500</v>
      </c>
      <c r="M424" s="94" t="s">
        <v>727</v>
      </c>
      <c r="N424" s="92" t="s">
        <v>708</v>
      </c>
      <c r="O424" s="96" t="s">
        <v>728</v>
      </c>
    </row>
    <row r="425" spans="1:15" ht="15" customHeight="1" x14ac:dyDescent="0.25">
      <c r="A425" s="91" t="s">
        <v>1642</v>
      </c>
      <c r="B425" s="92" t="s">
        <v>739</v>
      </c>
      <c r="C425" s="92" t="s">
        <v>51</v>
      </c>
      <c r="D425" s="92" t="s">
        <v>787</v>
      </c>
      <c r="E425" s="92" t="s">
        <v>1643</v>
      </c>
      <c r="F425" s="92" t="s">
        <v>850</v>
      </c>
      <c r="G425" s="92" t="s">
        <v>850</v>
      </c>
      <c r="H425" s="92">
        <v>30</v>
      </c>
      <c r="I425" s="92">
        <v>0</v>
      </c>
      <c r="J425" s="92">
        <v>302</v>
      </c>
      <c r="K425" s="93">
        <v>6519</v>
      </c>
      <c r="L425" s="93">
        <f t="shared" si="6"/>
        <v>1968738</v>
      </c>
      <c r="M425" s="94" t="s">
        <v>727</v>
      </c>
      <c r="N425" s="92" t="s">
        <v>714</v>
      </c>
      <c r="O425" s="96" t="s">
        <v>728</v>
      </c>
    </row>
    <row r="426" spans="1:15" ht="15" customHeight="1" x14ac:dyDescent="0.25">
      <c r="A426" s="91" t="s">
        <v>1644</v>
      </c>
      <c r="B426" s="92" t="s">
        <v>696</v>
      </c>
      <c r="C426" s="92" t="s">
        <v>96</v>
      </c>
      <c r="D426" s="92" t="s">
        <v>787</v>
      </c>
      <c r="E426" s="92" t="s">
        <v>1645</v>
      </c>
      <c r="F426" s="92" t="s">
        <v>1518</v>
      </c>
      <c r="G426" s="92" t="s">
        <v>1518</v>
      </c>
      <c r="H426" s="92">
        <v>43</v>
      </c>
      <c r="I426" s="92">
        <v>0</v>
      </c>
      <c r="J426" s="92">
        <v>131</v>
      </c>
      <c r="K426" s="93">
        <v>65672</v>
      </c>
      <c r="L426" s="93">
        <f t="shared" si="6"/>
        <v>8603032</v>
      </c>
      <c r="M426" s="94" t="s">
        <v>727</v>
      </c>
      <c r="N426" s="92" t="s">
        <v>701</v>
      </c>
      <c r="O426" s="96" t="s">
        <v>728</v>
      </c>
    </row>
    <row r="427" spans="1:15" ht="15" customHeight="1" x14ac:dyDescent="0.25">
      <c r="A427" s="91" t="s">
        <v>1646</v>
      </c>
      <c r="B427" s="92" t="s">
        <v>688</v>
      </c>
      <c r="C427" s="92" t="s">
        <v>68</v>
      </c>
      <c r="D427" s="92" t="s">
        <v>697</v>
      </c>
      <c r="E427" s="92" t="s">
        <v>1093</v>
      </c>
      <c r="F427" s="92" t="s">
        <v>762</v>
      </c>
      <c r="G427" s="92"/>
      <c r="H427" s="92">
        <v>30</v>
      </c>
      <c r="I427" s="92">
        <v>0</v>
      </c>
      <c r="J427" s="92">
        <v>334</v>
      </c>
      <c r="K427" s="93">
        <v>33061</v>
      </c>
      <c r="L427" s="93">
        <f t="shared" si="6"/>
        <v>11042374</v>
      </c>
      <c r="M427" s="92" t="s">
        <v>692</v>
      </c>
      <c r="N427" s="92" t="s">
        <v>708</v>
      </c>
      <c r="O427" s="95" t="s">
        <v>694</v>
      </c>
    </row>
    <row r="428" spans="1:15" ht="15" customHeight="1" x14ac:dyDescent="0.25">
      <c r="A428" s="91" t="s">
        <v>1647</v>
      </c>
      <c r="B428" s="92" t="s">
        <v>753</v>
      </c>
      <c r="C428" s="92" t="s">
        <v>51</v>
      </c>
      <c r="D428" s="92" t="s">
        <v>689</v>
      </c>
      <c r="E428" s="92" t="s">
        <v>1391</v>
      </c>
      <c r="F428" s="92" t="s">
        <v>1546</v>
      </c>
      <c r="G428" s="92" t="s">
        <v>1546</v>
      </c>
      <c r="H428" s="92">
        <v>37</v>
      </c>
      <c r="I428" s="92">
        <v>0</v>
      </c>
      <c r="J428" s="92">
        <v>362</v>
      </c>
      <c r="K428" s="93">
        <v>57658</v>
      </c>
      <c r="L428" s="93">
        <f t="shared" si="6"/>
        <v>20872196</v>
      </c>
      <c r="M428" s="94" t="s">
        <v>727</v>
      </c>
      <c r="N428" s="92" t="s">
        <v>742</v>
      </c>
      <c r="O428" s="96" t="s">
        <v>728</v>
      </c>
    </row>
    <row r="429" spans="1:15" ht="15" customHeight="1" x14ac:dyDescent="0.25">
      <c r="A429" s="91" t="s">
        <v>1648</v>
      </c>
      <c r="B429" s="92" t="s">
        <v>703</v>
      </c>
      <c r="C429" s="92" t="s">
        <v>704</v>
      </c>
      <c r="D429" s="92" t="s">
        <v>697</v>
      </c>
      <c r="E429" s="92" t="s">
        <v>1649</v>
      </c>
      <c r="F429" s="92" t="s">
        <v>1650</v>
      </c>
      <c r="G429" s="92" t="s">
        <v>1650</v>
      </c>
      <c r="H429" s="92">
        <v>16</v>
      </c>
      <c r="I429" s="92">
        <v>0</v>
      </c>
      <c r="J429" s="92">
        <v>340</v>
      </c>
      <c r="K429" s="93">
        <v>71608</v>
      </c>
      <c r="L429" s="93">
        <f t="shared" si="6"/>
        <v>24346720</v>
      </c>
      <c r="M429" s="94" t="s">
        <v>727</v>
      </c>
      <c r="N429" s="92" t="s">
        <v>714</v>
      </c>
      <c r="O429" s="96" t="s">
        <v>728</v>
      </c>
    </row>
    <row r="430" spans="1:15" ht="15" customHeight="1" x14ac:dyDescent="0.25">
      <c r="A430" s="91" t="s">
        <v>1651</v>
      </c>
      <c r="B430" s="92" t="s">
        <v>696</v>
      </c>
      <c r="C430" s="92" t="s">
        <v>96</v>
      </c>
      <c r="D430" s="92" t="s">
        <v>716</v>
      </c>
      <c r="E430" s="92" t="s">
        <v>1652</v>
      </c>
      <c r="F430" s="92" t="s">
        <v>382</v>
      </c>
      <c r="G430" s="92" t="s">
        <v>985</v>
      </c>
      <c r="H430" s="92">
        <v>31</v>
      </c>
      <c r="I430" s="92">
        <v>10</v>
      </c>
      <c r="J430" s="92">
        <v>42</v>
      </c>
      <c r="K430" s="93">
        <v>44316</v>
      </c>
      <c r="L430" s="93">
        <f t="shared" si="6"/>
        <v>1861272</v>
      </c>
      <c r="M430" s="94" t="s">
        <v>727</v>
      </c>
      <c r="N430" s="92" t="s">
        <v>742</v>
      </c>
      <c r="O430" s="96" t="s">
        <v>778</v>
      </c>
    </row>
    <row r="431" spans="1:15" ht="15" customHeight="1" x14ac:dyDescent="0.25">
      <c r="A431" s="91" t="s">
        <v>1653</v>
      </c>
      <c r="B431" s="92" t="s">
        <v>739</v>
      </c>
      <c r="C431" s="92" t="s">
        <v>51</v>
      </c>
      <c r="D431" s="92" t="s">
        <v>711</v>
      </c>
      <c r="E431" s="92" t="s">
        <v>1654</v>
      </c>
      <c r="F431" s="92" t="s">
        <v>1655</v>
      </c>
      <c r="G431" s="92" t="s">
        <v>1655</v>
      </c>
      <c r="H431" s="92">
        <v>34</v>
      </c>
      <c r="I431" s="92">
        <v>0</v>
      </c>
      <c r="J431" s="92">
        <v>273</v>
      </c>
      <c r="K431" s="93">
        <v>56142</v>
      </c>
      <c r="L431" s="93">
        <f t="shared" si="6"/>
        <v>15326766</v>
      </c>
      <c r="M431" s="94" t="s">
        <v>727</v>
      </c>
      <c r="N431" s="92" t="s">
        <v>708</v>
      </c>
      <c r="O431" s="96" t="s">
        <v>728</v>
      </c>
    </row>
    <row r="432" spans="1:15" ht="15" customHeight="1" x14ac:dyDescent="0.25">
      <c r="A432" s="91" t="s">
        <v>1656</v>
      </c>
      <c r="B432" s="92" t="s">
        <v>730</v>
      </c>
      <c r="C432" s="92" t="s">
        <v>131</v>
      </c>
      <c r="D432" s="92" t="s">
        <v>724</v>
      </c>
      <c r="E432" s="92" t="s">
        <v>848</v>
      </c>
      <c r="F432" s="92" t="s">
        <v>1657</v>
      </c>
      <c r="G432" s="92"/>
      <c r="H432" s="92">
        <v>33</v>
      </c>
      <c r="I432" s="92">
        <v>0</v>
      </c>
      <c r="J432" s="92">
        <v>474</v>
      </c>
      <c r="K432" s="93">
        <v>61987</v>
      </c>
      <c r="L432" s="93">
        <f t="shared" si="6"/>
        <v>29381838</v>
      </c>
      <c r="M432" s="92" t="s">
        <v>692</v>
      </c>
      <c r="N432" s="92" t="s">
        <v>714</v>
      </c>
      <c r="O432" s="95" t="s">
        <v>694</v>
      </c>
    </row>
    <row r="433" spans="1:15" ht="15" customHeight="1" x14ac:dyDescent="0.25">
      <c r="A433" s="91" t="s">
        <v>1658</v>
      </c>
      <c r="B433" s="92" t="s">
        <v>696</v>
      </c>
      <c r="C433" s="92" t="s">
        <v>96</v>
      </c>
      <c r="D433" s="92" t="s">
        <v>705</v>
      </c>
      <c r="E433" s="92" t="s">
        <v>806</v>
      </c>
      <c r="F433" s="92" t="s">
        <v>1368</v>
      </c>
      <c r="G433" s="92" t="s">
        <v>985</v>
      </c>
      <c r="H433" s="92">
        <v>16</v>
      </c>
      <c r="I433" s="92">
        <v>4</v>
      </c>
      <c r="J433" s="92">
        <v>204</v>
      </c>
      <c r="K433" s="93">
        <v>59566</v>
      </c>
      <c r="L433" s="93">
        <f t="shared" si="6"/>
        <v>12151464</v>
      </c>
      <c r="M433" s="94" t="s">
        <v>727</v>
      </c>
      <c r="N433" s="92" t="s">
        <v>714</v>
      </c>
      <c r="O433" s="96" t="s">
        <v>778</v>
      </c>
    </row>
    <row r="434" spans="1:15" ht="15" customHeight="1" x14ac:dyDescent="0.25">
      <c r="A434" s="91" t="s">
        <v>1659</v>
      </c>
      <c r="B434" s="92" t="s">
        <v>780</v>
      </c>
      <c r="C434" s="92" t="s">
        <v>86</v>
      </c>
      <c r="D434" s="92" t="s">
        <v>697</v>
      </c>
      <c r="E434" s="92" t="s">
        <v>947</v>
      </c>
      <c r="F434" s="92" t="s">
        <v>1025</v>
      </c>
      <c r="G434" s="92" t="s">
        <v>1025</v>
      </c>
      <c r="H434" s="92">
        <v>7</v>
      </c>
      <c r="I434" s="92">
        <v>0</v>
      </c>
      <c r="J434" s="92">
        <v>269</v>
      </c>
      <c r="K434" s="93">
        <v>35723</v>
      </c>
      <c r="L434" s="93">
        <f t="shared" si="6"/>
        <v>9609487</v>
      </c>
      <c r="M434" s="94" t="s">
        <v>727</v>
      </c>
      <c r="N434" s="92" t="s">
        <v>701</v>
      </c>
      <c r="O434" s="96" t="s">
        <v>728</v>
      </c>
    </row>
    <row r="435" spans="1:15" ht="15" customHeight="1" x14ac:dyDescent="0.25">
      <c r="A435" s="91" t="s">
        <v>1660</v>
      </c>
      <c r="B435" s="92" t="s">
        <v>739</v>
      </c>
      <c r="C435" s="92" t="s">
        <v>51</v>
      </c>
      <c r="D435" s="92" t="s">
        <v>711</v>
      </c>
      <c r="E435" s="92" t="s">
        <v>1661</v>
      </c>
      <c r="F435" s="92" t="s">
        <v>1662</v>
      </c>
      <c r="G435" s="92" t="s">
        <v>1662</v>
      </c>
      <c r="H435" s="92">
        <v>18</v>
      </c>
      <c r="I435" s="92">
        <v>0</v>
      </c>
      <c r="J435" s="92">
        <v>250</v>
      </c>
      <c r="K435" s="93">
        <v>15878</v>
      </c>
      <c r="L435" s="93">
        <f t="shared" si="6"/>
        <v>3969500</v>
      </c>
      <c r="M435" s="94" t="s">
        <v>727</v>
      </c>
      <c r="N435" s="92" t="s">
        <v>714</v>
      </c>
      <c r="O435" s="96" t="s">
        <v>728</v>
      </c>
    </row>
    <row r="436" spans="1:15" ht="15" customHeight="1" x14ac:dyDescent="0.25">
      <c r="A436" s="91" t="s">
        <v>1663</v>
      </c>
      <c r="B436" s="92" t="s">
        <v>710</v>
      </c>
      <c r="C436" s="92" t="s">
        <v>96</v>
      </c>
      <c r="D436" s="92" t="s">
        <v>689</v>
      </c>
      <c r="E436" s="92" t="s">
        <v>897</v>
      </c>
      <c r="F436" s="92" t="s">
        <v>707</v>
      </c>
      <c r="G436" s="92" t="s">
        <v>707</v>
      </c>
      <c r="H436" s="92">
        <v>18</v>
      </c>
      <c r="I436" s="92">
        <v>0</v>
      </c>
      <c r="J436" s="92">
        <v>389</v>
      </c>
      <c r="K436" s="93">
        <v>16714</v>
      </c>
      <c r="L436" s="93">
        <f t="shared" si="6"/>
        <v>6501746</v>
      </c>
      <c r="M436" s="94" t="s">
        <v>727</v>
      </c>
      <c r="N436" s="92" t="s">
        <v>708</v>
      </c>
      <c r="O436" s="96" t="s">
        <v>728</v>
      </c>
    </row>
    <row r="437" spans="1:15" ht="15" customHeight="1" x14ac:dyDescent="0.25">
      <c r="A437" s="91" t="s">
        <v>1664</v>
      </c>
      <c r="B437" s="92" t="s">
        <v>710</v>
      </c>
      <c r="C437" s="92" t="s">
        <v>96</v>
      </c>
      <c r="D437" s="92" t="s">
        <v>716</v>
      </c>
      <c r="E437" s="92" t="s">
        <v>1091</v>
      </c>
      <c r="F437" s="92" t="s">
        <v>1665</v>
      </c>
      <c r="G437" s="92" t="s">
        <v>1665</v>
      </c>
      <c r="H437" s="92">
        <v>17</v>
      </c>
      <c r="I437" s="92">
        <v>0</v>
      </c>
      <c r="J437" s="92">
        <v>142</v>
      </c>
      <c r="K437" s="93">
        <v>5930</v>
      </c>
      <c r="L437" s="93">
        <f t="shared" si="6"/>
        <v>842060</v>
      </c>
      <c r="M437" s="94" t="s">
        <v>727</v>
      </c>
      <c r="N437" s="92" t="s">
        <v>714</v>
      </c>
      <c r="O437" s="96" t="s">
        <v>728</v>
      </c>
    </row>
    <row r="438" spans="1:15" ht="15" customHeight="1" x14ac:dyDescent="0.25">
      <c r="A438" s="91" t="s">
        <v>1666</v>
      </c>
      <c r="B438" s="92" t="s">
        <v>730</v>
      </c>
      <c r="C438" s="92" t="s">
        <v>131</v>
      </c>
      <c r="D438" s="92" t="s">
        <v>689</v>
      </c>
      <c r="E438" s="92" t="s">
        <v>1667</v>
      </c>
      <c r="F438" s="92" t="s">
        <v>1467</v>
      </c>
      <c r="G438" s="92" t="s">
        <v>1467</v>
      </c>
      <c r="H438" s="92">
        <v>37</v>
      </c>
      <c r="I438" s="92">
        <v>0</v>
      </c>
      <c r="J438" s="92">
        <v>32</v>
      </c>
      <c r="K438" s="93">
        <v>22984</v>
      </c>
      <c r="L438" s="93">
        <f t="shared" si="6"/>
        <v>735488</v>
      </c>
      <c r="M438" s="94" t="s">
        <v>727</v>
      </c>
      <c r="N438" s="92" t="s">
        <v>714</v>
      </c>
      <c r="O438" s="96" t="s">
        <v>728</v>
      </c>
    </row>
    <row r="439" spans="1:15" ht="15" customHeight="1" x14ac:dyDescent="0.25">
      <c r="A439" s="91" t="s">
        <v>1668</v>
      </c>
      <c r="B439" s="92" t="s">
        <v>730</v>
      </c>
      <c r="C439" s="92" t="s">
        <v>131</v>
      </c>
      <c r="D439" s="92" t="s">
        <v>731</v>
      </c>
      <c r="E439" s="92" t="s">
        <v>1037</v>
      </c>
      <c r="F439" s="92" t="s">
        <v>1407</v>
      </c>
      <c r="G439" s="92" t="s">
        <v>1407</v>
      </c>
      <c r="H439" s="92">
        <v>13</v>
      </c>
      <c r="I439" s="92">
        <v>0</v>
      </c>
      <c r="J439" s="92">
        <v>309</v>
      </c>
      <c r="K439" s="93">
        <v>44446</v>
      </c>
      <c r="L439" s="93">
        <f t="shared" si="6"/>
        <v>13733814</v>
      </c>
      <c r="M439" s="94" t="s">
        <v>727</v>
      </c>
      <c r="N439" s="92" t="s">
        <v>701</v>
      </c>
      <c r="O439" s="96" t="s">
        <v>728</v>
      </c>
    </row>
    <row r="440" spans="1:15" ht="15" customHeight="1" x14ac:dyDescent="0.25">
      <c r="A440" s="91" t="s">
        <v>1669</v>
      </c>
      <c r="B440" s="92" t="s">
        <v>710</v>
      </c>
      <c r="C440" s="92" t="s">
        <v>96</v>
      </c>
      <c r="D440" s="92" t="s">
        <v>697</v>
      </c>
      <c r="E440" s="92" t="s">
        <v>1670</v>
      </c>
      <c r="F440" s="92" t="s">
        <v>1368</v>
      </c>
      <c r="G440" s="92"/>
      <c r="H440" s="92">
        <v>28</v>
      </c>
      <c r="I440" s="92">
        <v>0</v>
      </c>
      <c r="J440" s="92">
        <v>173</v>
      </c>
      <c r="K440" s="93">
        <v>31831</v>
      </c>
      <c r="L440" s="93">
        <f t="shared" si="6"/>
        <v>5506763</v>
      </c>
      <c r="M440" s="92" t="s">
        <v>692</v>
      </c>
      <c r="N440" s="92" t="s">
        <v>701</v>
      </c>
      <c r="O440" s="95" t="s">
        <v>694</v>
      </c>
    </row>
    <row r="441" spans="1:15" ht="15" customHeight="1" x14ac:dyDescent="0.25">
      <c r="A441" s="91" t="s">
        <v>1671</v>
      </c>
      <c r="B441" s="92" t="s">
        <v>720</v>
      </c>
      <c r="C441" s="92" t="s">
        <v>103</v>
      </c>
      <c r="D441" s="92" t="s">
        <v>689</v>
      </c>
      <c r="E441" s="92" t="s">
        <v>1672</v>
      </c>
      <c r="F441" s="92" t="s">
        <v>1170</v>
      </c>
      <c r="G441" s="92"/>
      <c r="H441" s="92">
        <v>30</v>
      </c>
      <c r="I441" s="92">
        <v>0</v>
      </c>
      <c r="J441" s="92">
        <v>194</v>
      </c>
      <c r="K441" s="93">
        <v>52113</v>
      </c>
      <c r="L441" s="93">
        <f t="shared" si="6"/>
        <v>10109922</v>
      </c>
      <c r="M441" s="92" t="s">
        <v>692</v>
      </c>
      <c r="N441" s="92" t="s">
        <v>701</v>
      </c>
      <c r="O441" s="95" t="s">
        <v>694</v>
      </c>
    </row>
    <row r="442" spans="1:15" ht="15" customHeight="1" x14ac:dyDescent="0.25">
      <c r="A442" s="91" t="s">
        <v>1673</v>
      </c>
      <c r="B442" s="92" t="s">
        <v>720</v>
      </c>
      <c r="C442" s="92" t="s">
        <v>103</v>
      </c>
      <c r="D442" s="92" t="s">
        <v>716</v>
      </c>
      <c r="E442" s="92" t="s">
        <v>1346</v>
      </c>
      <c r="F442" s="92" t="s">
        <v>427</v>
      </c>
      <c r="G442" s="92" t="s">
        <v>427</v>
      </c>
      <c r="H442" s="92">
        <v>7</v>
      </c>
      <c r="I442" s="92">
        <v>0</v>
      </c>
      <c r="J442" s="92">
        <v>428</v>
      </c>
      <c r="K442" s="93">
        <v>75534</v>
      </c>
      <c r="L442" s="93">
        <f t="shared" si="6"/>
        <v>32328552</v>
      </c>
      <c r="M442" s="94" t="s">
        <v>727</v>
      </c>
      <c r="N442" s="92" t="s">
        <v>742</v>
      </c>
      <c r="O442" s="96" t="s">
        <v>728</v>
      </c>
    </row>
    <row r="443" spans="1:15" ht="15" customHeight="1" x14ac:dyDescent="0.25">
      <c r="A443" s="91" t="s">
        <v>1674</v>
      </c>
      <c r="B443" s="92" t="s">
        <v>735</v>
      </c>
      <c r="C443" s="92" t="s">
        <v>51</v>
      </c>
      <c r="D443" s="92" t="s">
        <v>716</v>
      </c>
      <c r="E443" s="92" t="s">
        <v>1539</v>
      </c>
      <c r="F443" s="92" t="s">
        <v>882</v>
      </c>
      <c r="G443" s="92" t="s">
        <v>882</v>
      </c>
      <c r="H443" s="92">
        <v>40</v>
      </c>
      <c r="I443" s="92">
        <v>0</v>
      </c>
      <c r="J443" s="92">
        <v>128</v>
      </c>
      <c r="K443" s="93">
        <v>31632</v>
      </c>
      <c r="L443" s="93">
        <f t="shared" si="6"/>
        <v>4048896</v>
      </c>
      <c r="M443" s="94" t="s">
        <v>727</v>
      </c>
      <c r="N443" s="92" t="s">
        <v>693</v>
      </c>
      <c r="O443" s="96" t="s">
        <v>728</v>
      </c>
    </row>
    <row r="444" spans="1:15" ht="15" customHeight="1" x14ac:dyDescent="0.25">
      <c r="A444" s="91" t="s">
        <v>1675</v>
      </c>
      <c r="B444" s="92" t="s">
        <v>710</v>
      </c>
      <c r="C444" s="92" t="s">
        <v>96</v>
      </c>
      <c r="D444" s="92" t="s">
        <v>787</v>
      </c>
      <c r="E444" s="92" t="s">
        <v>1676</v>
      </c>
      <c r="F444" s="92" t="s">
        <v>825</v>
      </c>
      <c r="G444" s="92" t="s">
        <v>911</v>
      </c>
      <c r="H444" s="92">
        <v>19</v>
      </c>
      <c r="I444" s="92">
        <v>11</v>
      </c>
      <c r="J444" s="92">
        <v>417</v>
      </c>
      <c r="K444" s="93">
        <v>27725</v>
      </c>
      <c r="L444" s="93">
        <f t="shared" si="6"/>
        <v>11561325</v>
      </c>
      <c r="M444" s="94" t="s">
        <v>727</v>
      </c>
      <c r="N444" s="92" t="s">
        <v>701</v>
      </c>
      <c r="O444" s="96" t="s">
        <v>778</v>
      </c>
    </row>
    <row r="445" spans="1:15" ht="15" customHeight="1" x14ac:dyDescent="0.25">
      <c r="A445" s="91" t="s">
        <v>1677</v>
      </c>
      <c r="B445" s="92" t="s">
        <v>735</v>
      </c>
      <c r="C445" s="92" t="s">
        <v>51</v>
      </c>
      <c r="D445" s="92" t="s">
        <v>705</v>
      </c>
      <c r="E445" s="92" t="s">
        <v>1678</v>
      </c>
      <c r="F445" s="92" t="s">
        <v>1679</v>
      </c>
      <c r="G445" s="92" t="s">
        <v>1679</v>
      </c>
      <c r="H445" s="92">
        <v>35</v>
      </c>
      <c r="I445" s="92">
        <v>0</v>
      </c>
      <c r="J445" s="92">
        <v>314</v>
      </c>
      <c r="K445" s="93">
        <v>67590</v>
      </c>
      <c r="L445" s="93">
        <f t="shared" si="6"/>
        <v>21223260</v>
      </c>
      <c r="M445" s="94" t="s">
        <v>727</v>
      </c>
      <c r="N445" s="92" t="s">
        <v>701</v>
      </c>
      <c r="O445" s="96" t="s">
        <v>728</v>
      </c>
    </row>
    <row r="446" spans="1:15" ht="15" customHeight="1" x14ac:dyDescent="0.25">
      <c r="A446" s="91" t="s">
        <v>1680</v>
      </c>
      <c r="B446" s="92" t="s">
        <v>739</v>
      </c>
      <c r="C446" s="92" t="s">
        <v>51</v>
      </c>
      <c r="D446" s="92" t="s">
        <v>697</v>
      </c>
      <c r="E446" s="92" t="s">
        <v>1539</v>
      </c>
      <c r="F446" s="92" t="s">
        <v>1681</v>
      </c>
      <c r="G446" s="92"/>
      <c r="H446" s="92">
        <v>13</v>
      </c>
      <c r="I446" s="92">
        <v>0</v>
      </c>
      <c r="J446" s="92">
        <v>151</v>
      </c>
      <c r="K446" s="93">
        <v>51806</v>
      </c>
      <c r="L446" s="93">
        <f t="shared" si="6"/>
        <v>7822706</v>
      </c>
      <c r="M446" s="92" t="s">
        <v>692</v>
      </c>
      <c r="N446" s="92" t="s">
        <v>742</v>
      </c>
      <c r="O446" s="95" t="s">
        <v>694</v>
      </c>
    </row>
    <row r="447" spans="1:15" ht="15" customHeight="1" x14ac:dyDescent="0.25">
      <c r="A447" s="91" t="s">
        <v>1682</v>
      </c>
      <c r="B447" s="92" t="s">
        <v>688</v>
      </c>
      <c r="C447" s="92" t="s">
        <v>68</v>
      </c>
      <c r="D447" s="92" t="s">
        <v>731</v>
      </c>
      <c r="E447" s="92" t="s">
        <v>1005</v>
      </c>
      <c r="F447" s="92" t="s">
        <v>782</v>
      </c>
      <c r="G447" s="92" t="s">
        <v>782</v>
      </c>
      <c r="H447" s="92">
        <v>15</v>
      </c>
      <c r="I447" s="92">
        <v>0</v>
      </c>
      <c r="J447" s="92">
        <v>345</v>
      </c>
      <c r="K447" s="93">
        <v>84688</v>
      </c>
      <c r="L447" s="93">
        <f t="shared" si="6"/>
        <v>29217360</v>
      </c>
      <c r="M447" s="94" t="s">
        <v>727</v>
      </c>
      <c r="N447" s="92" t="s">
        <v>708</v>
      </c>
      <c r="O447" s="96" t="s">
        <v>728</v>
      </c>
    </row>
    <row r="448" spans="1:15" ht="15" customHeight="1" x14ac:dyDescent="0.25">
      <c r="A448" s="91" t="s">
        <v>1683</v>
      </c>
      <c r="B448" s="92" t="s">
        <v>780</v>
      </c>
      <c r="C448" s="92" t="s">
        <v>86</v>
      </c>
      <c r="D448" s="92" t="s">
        <v>697</v>
      </c>
      <c r="E448" s="92" t="s">
        <v>1684</v>
      </c>
      <c r="F448" s="92" t="s">
        <v>1685</v>
      </c>
      <c r="G448" s="92" t="s">
        <v>1685</v>
      </c>
      <c r="H448" s="92">
        <v>14</v>
      </c>
      <c r="I448" s="92">
        <v>0</v>
      </c>
      <c r="J448" s="92">
        <v>109</v>
      </c>
      <c r="K448" s="93">
        <v>14902</v>
      </c>
      <c r="L448" s="93">
        <f t="shared" si="6"/>
        <v>1624318</v>
      </c>
      <c r="M448" s="94" t="s">
        <v>727</v>
      </c>
      <c r="N448" s="92" t="s">
        <v>714</v>
      </c>
      <c r="O448" s="96" t="s">
        <v>728</v>
      </c>
    </row>
    <row r="449" spans="1:15" ht="15" customHeight="1" x14ac:dyDescent="0.25">
      <c r="A449" s="91" t="s">
        <v>1686</v>
      </c>
      <c r="B449" s="92" t="s">
        <v>696</v>
      </c>
      <c r="C449" s="92" t="s">
        <v>96</v>
      </c>
      <c r="D449" s="92" t="s">
        <v>787</v>
      </c>
      <c r="E449" s="92" t="s">
        <v>932</v>
      </c>
      <c r="F449" s="92" t="s">
        <v>1687</v>
      </c>
      <c r="G449" s="92" t="s">
        <v>811</v>
      </c>
      <c r="H449" s="92">
        <v>8</v>
      </c>
      <c r="I449" s="92">
        <v>6</v>
      </c>
      <c r="J449" s="92">
        <v>393</v>
      </c>
      <c r="K449" s="93">
        <v>24190</v>
      </c>
      <c r="L449" s="93">
        <f t="shared" si="6"/>
        <v>9506670</v>
      </c>
      <c r="M449" s="94" t="s">
        <v>727</v>
      </c>
      <c r="N449" s="92" t="s">
        <v>701</v>
      </c>
      <c r="O449" s="96" t="s">
        <v>778</v>
      </c>
    </row>
    <row r="450" spans="1:15" ht="15" customHeight="1" x14ac:dyDescent="0.25">
      <c r="A450" s="91" t="s">
        <v>1688</v>
      </c>
      <c r="B450" s="92" t="s">
        <v>710</v>
      </c>
      <c r="C450" s="92" t="s">
        <v>96</v>
      </c>
      <c r="D450" s="92" t="s">
        <v>716</v>
      </c>
      <c r="E450" s="92" t="s">
        <v>784</v>
      </c>
      <c r="F450" s="92" t="s">
        <v>1202</v>
      </c>
      <c r="G450" s="92"/>
      <c r="H450" s="92">
        <v>15</v>
      </c>
      <c r="I450" s="92">
        <v>18</v>
      </c>
      <c r="J450" s="92">
        <v>47</v>
      </c>
      <c r="K450" s="93">
        <v>67723</v>
      </c>
      <c r="L450" s="93">
        <f t="shared" ref="L450:L481" si="7">J450*K450</f>
        <v>3182981</v>
      </c>
      <c r="M450" s="94" t="s">
        <v>700</v>
      </c>
      <c r="N450" s="92" t="s">
        <v>701</v>
      </c>
      <c r="O450" s="95" t="s">
        <v>694</v>
      </c>
    </row>
    <row r="451" spans="1:15" ht="15" customHeight="1" x14ac:dyDescent="0.25">
      <c r="A451" s="91" t="s">
        <v>1689</v>
      </c>
      <c r="B451" s="92" t="s">
        <v>753</v>
      </c>
      <c r="C451" s="92" t="s">
        <v>51</v>
      </c>
      <c r="D451" s="92" t="s">
        <v>716</v>
      </c>
      <c r="E451" s="92" t="s">
        <v>1259</v>
      </c>
      <c r="F451" s="92" t="s">
        <v>1690</v>
      </c>
      <c r="G451" s="92" t="s">
        <v>1690</v>
      </c>
      <c r="H451" s="92">
        <v>28</v>
      </c>
      <c r="I451" s="92">
        <v>0</v>
      </c>
      <c r="J451" s="92">
        <v>372</v>
      </c>
      <c r="K451" s="93">
        <v>32749</v>
      </c>
      <c r="L451" s="93">
        <f t="shared" si="7"/>
        <v>12182628</v>
      </c>
      <c r="M451" s="94" t="s">
        <v>727</v>
      </c>
      <c r="N451" s="92" t="s">
        <v>693</v>
      </c>
      <c r="O451" s="96" t="s">
        <v>728</v>
      </c>
    </row>
    <row r="452" spans="1:15" ht="15" customHeight="1" x14ac:dyDescent="0.25">
      <c r="A452" s="91" t="s">
        <v>1691</v>
      </c>
      <c r="B452" s="92" t="s">
        <v>739</v>
      </c>
      <c r="C452" s="92" t="s">
        <v>51</v>
      </c>
      <c r="D452" s="92" t="s">
        <v>689</v>
      </c>
      <c r="E452" s="92" t="s">
        <v>1625</v>
      </c>
      <c r="F452" s="92" t="s">
        <v>1604</v>
      </c>
      <c r="G452" s="92" t="s">
        <v>1604</v>
      </c>
      <c r="H452" s="92">
        <v>21</v>
      </c>
      <c r="I452" s="92">
        <v>0</v>
      </c>
      <c r="J452" s="92">
        <v>46</v>
      </c>
      <c r="K452" s="93">
        <v>29250</v>
      </c>
      <c r="L452" s="93">
        <f t="shared" si="7"/>
        <v>1345500</v>
      </c>
      <c r="M452" s="94" t="s">
        <v>727</v>
      </c>
      <c r="N452" s="92" t="s">
        <v>693</v>
      </c>
      <c r="O452" s="96" t="s">
        <v>728</v>
      </c>
    </row>
    <row r="453" spans="1:15" ht="15" customHeight="1" x14ac:dyDescent="0.25">
      <c r="A453" s="91" t="s">
        <v>1692</v>
      </c>
      <c r="B453" s="92" t="s">
        <v>753</v>
      </c>
      <c r="C453" s="92" t="s">
        <v>51</v>
      </c>
      <c r="D453" s="92" t="s">
        <v>716</v>
      </c>
      <c r="E453" s="92" t="s">
        <v>1670</v>
      </c>
      <c r="F453" s="92" t="s">
        <v>1693</v>
      </c>
      <c r="G453" s="92" t="s">
        <v>1693</v>
      </c>
      <c r="H453" s="92">
        <v>43</v>
      </c>
      <c r="I453" s="92">
        <v>0</v>
      </c>
      <c r="J453" s="92">
        <v>195</v>
      </c>
      <c r="K453" s="93">
        <v>49249</v>
      </c>
      <c r="L453" s="93">
        <f t="shared" si="7"/>
        <v>9603555</v>
      </c>
      <c r="M453" s="94" t="s">
        <v>727</v>
      </c>
      <c r="N453" s="92" t="s">
        <v>714</v>
      </c>
      <c r="O453" s="96" t="s">
        <v>728</v>
      </c>
    </row>
    <row r="454" spans="1:15" ht="15" customHeight="1" x14ac:dyDescent="0.25">
      <c r="A454" s="91" t="s">
        <v>1694</v>
      </c>
      <c r="B454" s="92" t="s">
        <v>703</v>
      </c>
      <c r="C454" s="92" t="s">
        <v>704</v>
      </c>
      <c r="D454" s="92" t="s">
        <v>731</v>
      </c>
      <c r="E454" s="92" t="s">
        <v>1585</v>
      </c>
      <c r="F454" s="92" t="s">
        <v>1695</v>
      </c>
      <c r="G454" s="92" t="s">
        <v>1695</v>
      </c>
      <c r="H454" s="92">
        <v>44</v>
      </c>
      <c r="I454" s="92">
        <v>0</v>
      </c>
      <c r="J454" s="92">
        <v>217</v>
      </c>
      <c r="K454" s="93">
        <v>27510</v>
      </c>
      <c r="L454" s="93">
        <f t="shared" si="7"/>
        <v>5969670</v>
      </c>
      <c r="M454" s="94" t="s">
        <v>727</v>
      </c>
      <c r="N454" s="92" t="s">
        <v>701</v>
      </c>
      <c r="O454" s="96" t="s">
        <v>728</v>
      </c>
    </row>
    <row r="455" spans="1:15" ht="15" customHeight="1" x14ac:dyDescent="0.25">
      <c r="A455" s="91" t="s">
        <v>1696</v>
      </c>
      <c r="B455" s="92" t="s">
        <v>780</v>
      </c>
      <c r="C455" s="92" t="s">
        <v>86</v>
      </c>
      <c r="D455" s="92" t="s">
        <v>689</v>
      </c>
      <c r="E455" s="92" t="s">
        <v>1539</v>
      </c>
      <c r="F455" s="92" t="s">
        <v>1681</v>
      </c>
      <c r="G455" s="92" t="s">
        <v>1681</v>
      </c>
      <c r="H455" s="92">
        <v>13</v>
      </c>
      <c r="I455" s="92">
        <v>0</v>
      </c>
      <c r="J455" s="92">
        <v>162</v>
      </c>
      <c r="K455" s="93">
        <v>12727</v>
      </c>
      <c r="L455" s="93">
        <f t="shared" si="7"/>
        <v>2061774</v>
      </c>
      <c r="M455" s="94" t="s">
        <v>727</v>
      </c>
      <c r="N455" s="92" t="s">
        <v>701</v>
      </c>
      <c r="O455" s="96" t="s">
        <v>728</v>
      </c>
    </row>
    <row r="456" spans="1:15" ht="15" customHeight="1" x14ac:dyDescent="0.25">
      <c r="A456" s="91" t="s">
        <v>1697</v>
      </c>
      <c r="B456" s="92" t="s">
        <v>753</v>
      </c>
      <c r="C456" s="92" t="s">
        <v>51</v>
      </c>
      <c r="D456" s="92" t="s">
        <v>697</v>
      </c>
      <c r="E456" s="92" t="s">
        <v>1010</v>
      </c>
      <c r="F456" s="92" t="s">
        <v>880</v>
      </c>
      <c r="G456" s="92" t="s">
        <v>880</v>
      </c>
      <c r="H456" s="92">
        <v>36</v>
      </c>
      <c r="I456" s="92">
        <v>0</v>
      </c>
      <c r="J456" s="92">
        <v>341</v>
      </c>
      <c r="K456" s="93">
        <v>72251</v>
      </c>
      <c r="L456" s="93">
        <f t="shared" si="7"/>
        <v>24637591</v>
      </c>
      <c r="M456" s="94" t="s">
        <v>727</v>
      </c>
      <c r="N456" s="92" t="s">
        <v>714</v>
      </c>
      <c r="O456" s="96" t="s">
        <v>728</v>
      </c>
    </row>
    <row r="457" spans="1:15" ht="15" customHeight="1" x14ac:dyDescent="0.25">
      <c r="A457" s="91" t="s">
        <v>1698</v>
      </c>
      <c r="B457" s="92" t="s">
        <v>730</v>
      </c>
      <c r="C457" s="92" t="s">
        <v>131</v>
      </c>
      <c r="D457" s="92" t="s">
        <v>705</v>
      </c>
      <c r="E457" s="92" t="s">
        <v>1672</v>
      </c>
      <c r="F457" s="92" t="s">
        <v>1699</v>
      </c>
      <c r="G457" s="92" t="s">
        <v>1699</v>
      </c>
      <c r="H457" s="92">
        <v>26</v>
      </c>
      <c r="I457" s="92">
        <v>0</v>
      </c>
      <c r="J457" s="92">
        <v>435</v>
      </c>
      <c r="K457" s="93">
        <v>60201</v>
      </c>
      <c r="L457" s="93">
        <f t="shared" si="7"/>
        <v>26187435</v>
      </c>
      <c r="M457" s="94" t="s">
        <v>727</v>
      </c>
      <c r="N457" s="92" t="s">
        <v>708</v>
      </c>
      <c r="O457" s="96" t="s">
        <v>728</v>
      </c>
    </row>
    <row r="458" spans="1:15" ht="15" customHeight="1" x14ac:dyDescent="0.25">
      <c r="A458" s="91" t="s">
        <v>1700</v>
      </c>
      <c r="B458" s="92" t="s">
        <v>753</v>
      </c>
      <c r="C458" s="92" t="s">
        <v>51</v>
      </c>
      <c r="D458" s="92" t="s">
        <v>697</v>
      </c>
      <c r="E458" s="92" t="s">
        <v>1701</v>
      </c>
      <c r="F458" s="92" t="s">
        <v>1115</v>
      </c>
      <c r="G458" s="92"/>
      <c r="H458" s="92">
        <v>25</v>
      </c>
      <c r="I458" s="92">
        <v>0</v>
      </c>
      <c r="J458" s="92">
        <v>193</v>
      </c>
      <c r="K458" s="93">
        <v>5470</v>
      </c>
      <c r="L458" s="93">
        <f t="shared" si="7"/>
        <v>1055710</v>
      </c>
      <c r="M458" s="92" t="s">
        <v>692</v>
      </c>
      <c r="N458" s="92" t="s">
        <v>701</v>
      </c>
      <c r="O458" s="95" t="s">
        <v>694</v>
      </c>
    </row>
    <row r="459" spans="1:15" ht="15" customHeight="1" x14ac:dyDescent="0.25">
      <c r="A459" s="91" t="s">
        <v>1702</v>
      </c>
      <c r="B459" s="92" t="s">
        <v>780</v>
      </c>
      <c r="C459" s="92" t="s">
        <v>86</v>
      </c>
      <c r="D459" s="92" t="s">
        <v>689</v>
      </c>
      <c r="E459" s="92" t="s">
        <v>1518</v>
      </c>
      <c r="F459" s="92" t="s">
        <v>1472</v>
      </c>
      <c r="G459" s="92"/>
      <c r="H459" s="92">
        <v>21</v>
      </c>
      <c r="I459" s="92">
        <v>0</v>
      </c>
      <c r="J459" s="92">
        <v>27</v>
      </c>
      <c r="K459" s="93">
        <v>78507</v>
      </c>
      <c r="L459" s="93">
        <f t="shared" si="7"/>
        <v>2119689</v>
      </c>
      <c r="M459" s="92" t="s">
        <v>692</v>
      </c>
      <c r="N459" s="92" t="s">
        <v>742</v>
      </c>
      <c r="O459" s="95" t="s">
        <v>694</v>
      </c>
    </row>
    <row r="460" spans="1:15" ht="15" customHeight="1" x14ac:dyDescent="0.25">
      <c r="A460" s="91" t="s">
        <v>1703</v>
      </c>
      <c r="B460" s="92" t="s">
        <v>710</v>
      </c>
      <c r="C460" s="92" t="s">
        <v>96</v>
      </c>
      <c r="D460" s="92" t="s">
        <v>787</v>
      </c>
      <c r="E460" s="92" t="s">
        <v>869</v>
      </c>
      <c r="F460" s="92" t="s">
        <v>1704</v>
      </c>
      <c r="G460" s="92"/>
      <c r="H460" s="92">
        <v>26</v>
      </c>
      <c r="I460" s="92">
        <v>8</v>
      </c>
      <c r="J460" s="92">
        <v>12</v>
      </c>
      <c r="K460" s="93">
        <v>46801</v>
      </c>
      <c r="L460" s="93">
        <f t="shared" si="7"/>
        <v>561612</v>
      </c>
      <c r="M460" s="94" t="s">
        <v>700</v>
      </c>
      <c r="N460" s="92" t="s">
        <v>701</v>
      </c>
      <c r="O460" s="95" t="s">
        <v>694</v>
      </c>
    </row>
    <row r="461" spans="1:15" ht="15" customHeight="1" x14ac:dyDescent="0.25">
      <c r="A461" s="91" t="s">
        <v>1705</v>
      </c>
      <c r="B461" s="92" t="s">
        <v>739</v>
      </c>
      <c r="C461" s="92" t="s">
        <v>51</v>
      </c>
      <c r="D461" s="92" t="s">
        <v>697</v>
      </c>
      <c r="E461" s="92" t="s">
        <v>825</v>
      </c>
      <c r="F461" s="92" t="s">
        <v>1077</v>
      </c>
      <c r="G461" s="92"/>
      <c r="H461" s="92">
        <v>29</v>
      </c>
      <c r="I461" s="92">
        <v>0</v>
      </c>
      <c r="J461" s="92">
        <v>201</v>
      </c>
      <c r="K461" s="93">
        <v>6569</v>
      </c>
      <c r="L461" s="93">
        <f t="shared" si="7"/>
        <v>1320369</v>
      </c>
      <c r="M461" s="92" t="s">
        <v>692</v>
      </c>
      <c r="N461" s="92" t="s">
        <v>701</v>
      </c>
      <c r="O461" s="95" t="s">
        <v>694</v>
      </c>
    </row>
    <row r="462" spans="1:15" ht="15" customHeight="1" x14ac:dyDescent="0.25">
      <c r="A462" s="91" t="s">
        <v>1706</v>
      </c>
      <c r="B462" s="92" t="s">
        <v>703</v>
      </c>
      <c r="C462" s="92" t="s">
        <v>704</v>
      </c>
      <c r="D462" s="92" t="s">
        <v>689</v>
      </c>
      <c r="E462" s="92" t="s">
        <v>1707</v>
      </c>
      <c r="F462" s="92" t="s">
        <v>1708</v>
      </c>
      <c r="G462" s="92" t="s">
        <v>1708</v>
      </c>
      <c r="H462" s="92">
        <v>42</v>
      </c>
      <c r="I462" s="92">
        <v>0</v>
      </c>
      <c r="J462" s="92">
        <v>406</v>
      </c>
      <c r="K462" s="93">
        <v>49542</v>
      </c>
      <c r="L462" s="93">
        <f t="shared" si="7"/>
        <v>20114052</v>
      </c>
      <c r="M462" s="94" t="s">
        <v>727</v>
      </c>
      <c r="N462" s="92" t="s">
        <v>714</v>
      </c>
      <c r="O462" s="96" t="s">
        <v>728</v>
      </c>
    </row>
    <row r="463" spans="1:15" ht="15" customHeight="1" x14ac:dyDescent="0.25">
      <c r="A463" s="91" t="s">
        <v>1709</v>
      </c>
      <c r="B463" s="92" t="s">
        <v>703</v>
      </c>
      <c r="C463" s="92" t="s">
        <v>704</v>
      </c>
      <c r="D463" s="92" t="s">
        <v>697</v>
      </c>
      <c r="E463" s="92" t="s">
        <v>1566</v>
      </c>
      <c r="F463" s="92" t="s">
        <v>1314</v>
      </c>
      <c r="G463" s="92" t="s">
        <v>1314</v>
      </c>
      <c r="H463" s="92">
        <v>17</v>
      </c>
      <c r="I463" s="92">
        <v>0</v>
      </c>
      <c r="J463" s="92">
        <v>150</v>
      </c>
      <c r="K463" s="93">
        <v>76315</v>
      </c>
      <c r="L463" s="93">
        <f t="shared" si="7"/>
        <v>11447250</v>
      </c>
      <c r="M463" s="94" t="s">
        <v>727</v>
      </c>
      <c r="N463" s="92" t="s">
        <v>742</v>
      </c>
      <c r="O463" s="96" t="s">
        <v>728</v>
      </c>
    </row>
    <row r="464" spans="1:15" ht="15" customHeight="1" x14ac:dyDescent="0.25">
      <c r="A464" s="91" t="s">
        <v>1710</v>
      </c>
      <c r="B464" s="92" t="s">
        <v>753</v>
      </c>
      <c r="C464" s="92" t="s">
        <v>51</v>
      </c>
      <c r="D464" s="92" t="s">
        <v>689</v>
      </c>
      <c r="E464" s="92" t="s">
        <v>1546</v>
      </c>
      <c r="F464" s="92" t="s">
        <v>1518</v>
      </c>
      <c r="G464" s="92" t="s">
        <v>1518</v>
      </c>
      <c r="H464" s="92">
        <v>7</v>
      </c>
      <c r="I464" s="92">
        <v>0</v>
      </c>
      <c r="J464" s="92">
        <v>348</v>
      </c>
      <c r="K464" s="93">
        <v>66875</v>
      </c>
      <c r="L464" s="93">
        <f t="shared" si="7"/>
        <v>23272500</v>
      </c>
      <c r="M464" s="94" t="s">
        <v>727</v>
      </c>
      <c r="N464" s="92" t="s">
        <v>742</v>
      </c>
      <c r="O464" s="96" t="s">
        <v>728</v>
      </c>
    </row>
    <row r="465" spans="1:15" ht="15" customHeight="1" x14ac:dyDescent="0.25">
      <c r="A465" s="91" t="s">
        <v>1711</v>
      </c>
      <c r="B465" s="92" t="s">
        <v>739</v>
      </c>
      <c r="C465" s="92" t="s">
        <v>51</v>
      </c>
      <c r="D465" s="92" t="s">
        <v>787</v>
      </c>
      <c r="E465" s="92" t="s">
        <v>1058</v>
      </c>
      <c r="F465" s="92" t="s">
        <v>1283</v>
      </c>
      <c r="G465" s="92"/>
      <c r="H465" s="92">
        <v>17</v>
      </c>
      <c r="I465" s="92">
        <v>6</v>
      </c>
      <c r="J465" s="92">
        <v>183</v>
      </c>
      <c r="K465" s="93">
        <v>82816</v>
      </c>
      <c r="L465" s="93">
        <f t="shared" si="7"/>
        <v>15155328</v>
      </c>
      <c r="M465" s="94" t="s">
        <v>700</v>
      </c>
      <c r="N465" s="92" t="s">
        <v>742</v>
      </c>
      <c r="O465" s="95" t="s">
        <v>694</v>
      </c>
    </row>
    <row r="466" spans="1:15" ht="15" customHeight="1" x14ac:dyDescent="0.25">
      <c r="A466" s="91" t="s">
        <v>1712</v>
      </c>
      <c r="B466" s="92" t="s">
        <v>735</v>
      </c>
      <c r="C466" s="92" t="s">
        <v>51</v>
      </c>
      <c r="D466" s="92" t="s">
        <v>716</v>
      </c>
      <c r="E466" s="92" t="s">
        <v>1713</v>
      </c>
      <c r="F466" s="92" t="s">
        <v>1714</v>
      </c>
      <c r="G466" s="92"/>
      <c r="H466" s="92">
        <v>39</v>
      </c>
      <c r="I466" s="92">
        <v>0</v>
      </c>
      <c r="J466" s="92">
        <v>304</v>
      </c>
      <c r="K466" s="93">
        <v>37158</v>
      </c>
      <c r="L466" s="93">
        <f t="shared" si="7"/>
        <v>11296032</v>
      </c>
      <c r="M466" s="92" t="s">
        <v>692</v>
      </c>
      <c r="N466" s="92" t="s">
        <v>742</v>
      </c>
      <c r="O466" s="95" t="s">
        <v>694</v>
      </c>
    </row>
    <row r="467" spans="1:15" ht="15" customHeight="1" x14ac:dyDescent="0.25">
      <c r="A467" s="91" t="s">
        <v>1715</v>
      </c>
      <c r="B467" s="92" t="s">
        <v>739</v>
      </c>
      <c r="C467" s="92" t="s">
        <v>51</v>
      </c>
      <c r="D467" s="92" t="s">
        <v>689</v>
      </c>
      <c r="E467" s="92" t="s">
        <v>1202</v>
      </c>
      <c r="F467" s="92" t="s">
        <v>1600</v>
      </c>
      <c r="G467" s="92" t="s">
        <v>1600</v>
      </c>
      <c r="H467" s="92">
        <v>9</v>
      </c>
      <c r="I467" s="92">
        <v>0</v>
      </c>
      <c r="J467" s="92">
        <v>353</v>
      </c>
      <c r="K467" s="93">
        <v>50875</v>
      </c>
      <c r="L467" s="93">
        <f t="shared" si="7"/>
        <v>17958875</v>
      </c>
      <c r="M467" s="94" t="s">
        <v>727</v>
      </c>
      <c r="N467" s="92" t="s">
        <v>742</v>
      </c>
      <c r="O467" s="96" t="s">
        <v>728</v>
      </c>
    </row>
    <row r="468" spans="1:15" ht="15" customHeight="1" x14ac:dyDescent="0.25">
      <c r="A468" s="91" t="s">
        <v>1716</v>
      </c>
      <c r="B468" s="92" t="s">
        <v>739</v>
      </c>
      <c r="C468" s="92" t="s">
        <v>51</v>
      </c>
      <c r="D468" s="92" t="s">
        <v>716</v>
      </c>
      <c r="E468" s="92" t="s">
        <v>1717</v>
      </c>
      <c r="F468" s="92" t="s">
        <v>338</v>
      </c>
      <c r="G468" s="92"/>
      <c r="H468" s="92">
        <v>36</v>
      </c>
      <c r="I468" s="92">
        <v>0</v>
      </c>
      <c r="J468" s="92">
        <v>333</v>
      </c>
      <c r="K468" s="93">
        <v>32788</v>
      </c>
      <c r="L468" s="93">
        <f t="shared" si="7"/>
        <v>10918404</v>
      </c>
      <c r="M468" s="94" t="s">
        <v>759</v>
      </c>
      <c r="N468" s="92" t="s">
        <v>708</v>
      </c>
      <c r="O468" s="95" t="s">
        <v>694</v>
      </c>
    </row>
    <row r="469" spans="1:15" ht="15" customHeight="1" x14ac:dyDescent="0.25">
      <c r="A469" s="91" t="s">
        <v>1718</v>
      </c>
      <c r="B469" s="92" t="s">
        <v>720</v>
      </c>
      <c r="C469" s="92" t="s">
        <v>103</v>
      </c>
      <c r="D469" s="92" t="s">
        <v>731</v>
      </c>
      <c r="E469" s="92" t="s">
        <v>1017</v>
      </c>
      <c r="F469" s="92" t="s">
        <v>1011</v>
      </c>
      <c r="G469" s="92" t="s">
        <v>1011</v>
      </c>
      <c r="H469" s="92">
        <v>14</v>
      </c>
      <c r="I469" s="92">
        <v>0</v>
      </c>
      <c r="J469" s="92">
        <v>343</v>
      </c>
      <c r="K469" s="93">
        <v>77266</v>
      </c>
      <c r="L469" s="93">
        <f t="shared" si="7"/>
        <v>26502238</v>
      </c>
      <c r="M469" s="94" t="s">
        <v>727</v>
      </c>
      <c r="N469" s="92" t="s">
        <v>742</v>
      </c>
      <c r="O469" s="96" t="s">
        <v>728</v>
      </c>
    </row>
    <row r="470" spans="1:15" ht="15" customHeight="1" x14ac:dyDescent="0.25">
      <c r="A470" s="91" t="s">
        <v>1719</v>
      </c>
      <c r="B470" s="92" t="s">
        <v>735</v>
      </c>
      <c r="C470" s="92" t="s">
        <v>51</v>
      </c>
      <c r="D470" s="92" t="s">
        <v>697</v>
      </c>
      <c r="E470" s="92" t="s">
        <v>1182</v>
      </c>
      <c r="F470" s="92" t="s">
        <v>1602</v>
      </c>
      <c r="G470" s="92"/>
      <c r="H470" s="92">
        <v>24</v>
      </c>
      <c r="I470" s="92">
        <v>0</v>
      </c>
      <c r="J470" s="92">
        <v>49</v>
      </c>
      <c r="K470" s="93">
        <v>67622</v>
      </c>
      <c r="L470" s="93">
        <f t="shared" si="7"/>
        <v>3313478</v>
      </c>
      <c r="M470" s="92" t="s">
        <v>692</v>
      </c>
      <c r="N470" s="92" t="s">
        <v>742</v>
      </c>
      <c r="O470" s="95" t="s">
        <v>694</v>
      </c>
    </row>
    <row r="471" spans="1:15" ht="15" customHeight="1" x14ac:dyDescent="0.25">
      <c r="A471" s="91" t="s">
        <v>1720</v>
      </c>
      <c r="B471" s="92" t="s">
        <v>739</v>
      </c>
      <c r="C471" s="92" t="s">
        <v>51</v>
      </c>
      <c r="D471" s="92" t="s">
        <v>697</v>
      </c>
      <c r="E471" s="92" t="s">
        <v>905</v>
      </c>
      <c r="F471" s="92" t="s">
        <v>1721</v>
      </c>
      <c r="G471" s="92" t="s">
        <v>1721</v>
      </c>
      <c r="H471" s="92">
        <v>34</v>
      </c>
      <c r="I471" s="92">
        <v>0</v>
      </c>
      <c r="J471" s="92">
        <v>33</v>
      </c>
      <c r="K471" s="93">
        <v>60813</v>
      </c>
      <c r="L471" s="93">
        <f t="shared" si="7"/>
        <v>2006829</v>
      </c>
      <c r="M471" s="94" t="s">
        <v>727</v>
      </c>
      <c r="N471" s="92" t="s">
        <v>693</v>
      </c>
      <c r="O471" s="96" t="s">
        <v>728</v>
      </c>
    </row>
    <row r="472" spans="1:15" ht="15" customHeight="1" x14ac:dyDescent="0.25">
      <c r="A472" s="91" t="s">
        <v>1722</v>
      </c>
      <c r="B472" s="92" t="s">
        <v>780</v>
      </c>
      <c r="C472" s="92" t="s">
        <v>86</v>
      </c>
      <c r="D472" s="92" t="s">
        <v>787</v>
      </c>
      <c r="E472" s="92" t="s">
        <v>1457</v>
      </c>
      <c r="F472" s="92" t="s">
        <v>878</v>
      </c>
      <c r="G472" s="92" t="s">
        <v>878</v>
      </c>
      <c r="H472" s="92">
        <v>8</v>
      </c>
      <c r="I472" s="92">
        <v>0</v>
      </c>
      <c r="J472" s="92">
        <v>416</v>
      </c>
      <c r="K472" s="93">
        <v>45292</v>
      </c>
      <c r="L472" s="93">
        <f t="shared" si="7"/>
        <v>18841472</v>
      </c>
      <c r="M472" s="94" t="s">
        <v>727</v>
      </c>
      <c r="N472" s="92" t="s">
        <v>714</v>
      </c>
      <c r="O472" s="96" t="s">
        <v>728</v>
      </c>
    </row>
    <row r="473" spans="1:15" ht="15" customHeight="1" x14ac:dyDescent="0.25">
      <c r="A473" s="91" t="s">
        <v>1723</v>
      </c>
      <c r="B473" s="92" t="s">
        <v>688</v>
      </c>
      <c r="C473" s="92" t="s">
        <v>68</v>
      </c>
      <c r="D473" s="92" t="s">
        <v>716</v>
      </c>
      <c r="E473" s="92" t="s">
        <v>1331</v>
      </c>
      <c r="F473" s="92" t="s">
        <v>1604</v>
      </c>
      <c r="G473" s="92"/>
      <c r="H473" s="92">
        <v>20</v>
      </c>
      <c r="I473" s="92">
        <v>6</v>
      </c>
      <c r="J473" s="92">
        <v>93</v>
      </c>
      <c r="K473" s="93">
        <v>73339</v>
      </c>
      <c r="L473" s="93">
        <f t="shared" si="7"/>
        <v>6820527</v>
      </c>
      <c r="M473" s="94" t="s">
        <v>700</v>
      </c>
      <c r="N473" s="92" t="s">
        <v>742</v>
      </c>
      <c r="O473" s="95" t="s">
        <v>694</v>
      </c>
    </row>
    <row r="474" spans="1:15" ht="15" customHeight="1" x14ac:dyDescent="0.25">
      <c r="A474" s="91" t="s">
        <v>1724</v>
      </c>
      <c r="B474" s="92" t="s">
        <v>735</v>
      </c>
      <c r="C474" s="92" t="s">
        <v>51</v>
      </c>
      <c r="D474" s="92" t="s">
        <v>697</v>
      </c>
      <c r="E474" s="92" t="s">
        <v>888</v>
      </c>
      <c r="F474" s="92" t="s">
        <v>1681</v>
      </c>
      <c r="G474" s="92" t="s">
        <v>1681</v>
      </c>
      <c r="H474" s="92">
        <v>27</v>
      </c>
      <c r="I474" s="92">
        <v>0</v>
      </c>
      <c r="J474" s="92">
        <v>335</v>
      </c>
      <c r="K474" s="93">
        <v>14122</v>
      </c>
      <c r="L474" s="93">
        <f t="shared" si="7"/>
        <v>4730870</v>
      </c>
      <c r="M474" s="94" t="s">
        <v>727</v>
      </c>
      <c r="N474" s="92" t="s">
        <v>693</v>
      </c>
      <c r="O474" s="96" t="s">
        <v>728</v>
      </c>
    </row>
    <row r="475" spans="1:15" ht="15" customHeight="1" x14ac:dyDescent="0.25">
      <c r="A475" s="91" t="s">
        <v>1725</v>
      </c>
      <c r="B475" s="92" t="s">
        <v>703</v>
      </c>
      <c r="C475" s="92" t="s">
        <v>704</v>
      </c>
      <c r="D475" s="92" t="s">
        <v>731</v>
      </c>
      <c r="E475" s="92" t="s">
        <v>1536</v>
      </c>
      <c r="F475" s="92" t="s">
        <v>764</v>
      </c>
      <c r="G475" s="92"/>
      <c r="H475" s="92">
        <v>12</v>
      </c>
      <c r="I475" s="92">
        <v>19</v>
      </c>
      <c r="J475" s="92">
        <v>153</v>
      </c>
      <c r="K475" s="93">
        <v>31221</v>
      </c>
      <c r="L475" s="93">
        <f t="shared" si="7"/>
        <v>4776813</v>
      </c>
      <c r="M475" s="94" t="s">
        <v>700</v>
      </c>
      <c r="N475" s="92" t="s">
        <v>693</v>
      </c>
      <c r="O475" s="95" t="s">
        <v>694</v>
      </c>
    </row>
    <row r="476" spans="1:15" ht="15" customHeight="1" x14ac:dyDescent="0.25">
      <c r="A476" s="91" t="s">
        <v>1726</v>
      </c>
      <c r="B476" s="92" t="s">
        <v>780</v>
      </c>
      <c r="C476" s="92" t="s">
        <v>86</v>
      </c>
      <c r="D476" s="92" t="s">
        <v>787</v>
      </c>
      <c r="E476" s="92" t="s">
        <v>875</v>
      </c>
      <c r="F476" s="92" t="s">
        <v>1418</v>
      </c>
      <c r="G476" s="92" t="s">
        <v>1200</v>
      </c>
      <c r="H476" s="92">
        <v>7</v>
      </c>
      <c r="I476" s="92">
        <v>1</v>
      </c>
      <c r="J476" s="92">
        <v>266</v>
      </c>
      <c r="K476" s="93">
        <v>76940</v>
      </c>
      <c r="L476" s="93">
        <f t="shared" si="7"/>
        <v>20466040</v>
      </c>
      <c r="M476" s="94" t="s">
        <v>727</v>
      </c>
      <c r="N476" s="92" t="s">
        <v>701</v>
      </c>
      <c r="O476" s="96" t="s">
        <v>778</v>
      </c>
    </row>
    <row r="477" spans="1:15" ht="15" customHeight="1" x14ac:dyDescent="0.25">
      <c r="A477" s="91" t="s">
        <v>1727</v>
      </c>
      <c r="B477" s="92" t="s">
        <v>688</v>
      </c>
      <c r="C477" s="92" t="s">
        <v>68</v>
      </c>
      <c r="D477" s="92" t="s">
        <v>697</v>
      </c>
      <c r="E477" s="92" t="s">
        <v>910</v>
      </c>
      <c r="F477" s="92" t="s">
        <v>1728</v>
      </c>
      <c r="G477" s="92" t="s">
        <v>1728</v>
      </c>
      <c r="H477" s="92">
        <v>15</v>
      </c>
      <c r="I477" s="92">
        <v>0</v>
      </c>
      <c r="J477" s="92">
        <v>467</v>
      </c>
      <c r="K477" s="93">
        <v>83819</v>
      </c>
      <c r="L477" s="93">
        <f t="shared" si="7"/>
        <v>39143473</v>
      </c>
      <c r="M477" s="94" t="s">
        <v>727</v>
      </c>
      <c r="N477" s="92" t="s">
        <v>701</v>
      </c>
      <c r="O477" s="96" t="s">
        <v>728</v>
      </c>
    </row>
    <row r="478" spans="1:15" ht="15" customHeight="1" x14ac:dyDescent="0.25">
      <c r="A478" s="91" t="s">
        <v>1729</v>
      </c>
      <c r="B478" s="92" t="s">
        <v>730</v>
      </c>
      <c r="C478" s="92" t="s">
        <v>131</v>
      </c>
      <c r="D478" s="92" t="s">
        <v>689</v>
      </c>
      <c r="E478" s="92" t="s">
        <v>1730</v>
      </c>
      <c r="F478" s="92" t="s">
        <v>1163</v>
      </c>
      <c r="G478" s="92"/>
      <c r="H478" s="92">
        <v>13</v>
      </c>
      <c r="I478" s="92">
        <v>0</v>
      </c>
      <c r="J478" s="92">
        <v>23</v>
      </c>
      <c r="K478" s="93">
        <v>20535</v>
      </c>
      <c r="L478" s="93">
        <f t="shared" si="7"/>
        <v>472305</v>
      </c>
      <c r="M478" s="92" t="s">
        <v>692</v>
      </c>
      <c r="N478" s="92" t="s">
        <v>742</v>
      </c>
      <c r="O478" s="95" t="s">
        <v>694</v>
      </c>
    </row>
    <row r="479" spans="1:15" ht="15" customHeight="1" x14ac:dyDescent="0.25">
      <c r="A479" s="91" t="s">
        <v>1731</v>
      </c>
      <c r="B479" s="92" t="s">
        <v>780</v>
      </c>
      <c r="C479" s="92" t="s">
        <v>86</v>
      </c>
      <c r="D479" s="92" t="s">
        <v>724</v>
      </c>
      <c r="E479" s="92" t="s">
        <v>1281</v>
      </c>
      <c r="F479" s="92" t="s">
        <v>1732</v>
      </c>
      <c r="G479" s="92"/>
      <c r="H479" s="92">
        <v>20</v>
      </c>
      <c r="I479" s="92">
        <v>20</v>
      </c>
      <c r="J479" s="92">
        <v>111</v>
      </c>
      <c r="K479" s="93">
        <v>50506</v>
      </c>
      <c r="L479" s="93">
        <f t="shared" si="7"/>
        <v>5606166</v>
      </c>
      <c r="M479" s="94" t="s">
        <v>700</v>
      </c>
      <c r="N479" s="92" t="s">
        <v>701</v>
      </c>
      <c r="O479" s="95" t="s">
        <v>694</v>
      </c>
    </row>
    <row r="480" spans="1:15" ht="15" customHeight="1" x14ac:dyDescent="0.25">
      <c r="A480" s="91" t="s">
        <v>1733</v>
      </c>
      <c r="B480" s="92" t="s">
        <v>780</v>
      </c>
      <c r="C480" s="92" t="s">
        <v>86</v>
      </c>
      <c r="D480" s="92" t="s">
        <v>787</v>
      </c>
      <c r="E480" s="92" t="s">
        <v>1268</v>
      </c>
      <c r="F480" s="92" t="s">
        <v>1734</v>
      </c>
      <c r="G480" s="92" t="s">
        <v>1734</v>
      </c>
      <c r="H480" s="92">
        <v>11</v>
      </c>
      <c r="I480" s="92">
        <v>0</v>
      </c>
      <c r="J480" s="92">
        <v>463</v>
      </c>
      <c r="K480" s="93">
        <v>14300</v>
      </c>
      <c r="L480" s="93">
        <f t="shared" si="7"/>
        <v>6620900</v>
      </c>
      <c r="M480" s="94" t="s">
        <v>727</v>
      </c>
      <c r="N480" s="92" t="s">
        <v>708</v>
      </c>
      <c r="O480" s="96" t="s">
        <v>728</v>
      </c>
    </row>
    <row r="481" spans="1:15" ht="15" customHeight="1" thickBot="1" x14ac:dyDescent="0.3">
      <c r="A481" s="97" t="s">
        <v>1735</v>
      </c>
      <c r="B481" s="98" t="s">
        <v>696</v>
      </c>
      <c r="C481" s="98" t="s">
        <v>96</v>
      </c>
      <c r="D481" s="98" t="s">
        <v>724</v>
      </c>
      <c r="E481" s="98" t="s">
        <v>1289</v>
      </c>
      <c r="F481" s="98" t="s">
        <v>1430</v>
      </c>
      <c r="G481" s="98"/>
      <c r="H481" s="98">
        <v>34</v>
      </c>
      <c r="I481" s="98">
        <v>7</v>
      </c>
      <c r="J481" s="98">
        <v>275</v>
      </c>
      <c r="K481" s="99">
        <v>17718</v>
      </c>
      <c r="L481" s="99">
        <f t="shared" si="7"/>
        <v>4872450</v>
      </c>
      <c r="M481" s="100" t="s">
        <v>700</v>
      </c>
      <c r="N481" s="98" t="s">
        <v>701</v>
      </c>
      <c r="O481" s="101" t="s">
        <v>694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1"/>
  <sheetViews>
    <sheetView showGridLines="0" zoomScaleNormal="100" workbookViewId="0">
      <pane ySplit="1" topLeftCell="A2" activePane="bottomLeft" state="frozen"/>
      <selection pane="bottomLeft" activeCell="N21" sqref="N21"/>
    </sheetView>
  </sheetViews>
  <sheetFormatPr defaultColWidth="8.7109375" defaultRowHeight="15.75" x14ac:dyDescent="0.25"/>
  <cols>
    <col min="1" max="1" width="11" style="61" customWidth="1"/>
    <col min="2" max="2" width="18" style="61" customWidth="1"/>
    <col min="3" max="3" width="11" style="61" customWidth="1"/>
    <col min="4" max="5" width="12" style="61" customWidth="1"/>
    <col min="6" max="6" width="13" style="61" customWidth="1"/>
    <col min="7" max="7" width="12" style="61" customWidth="1"/>
    <col min="8" max="8" width="13" style="61" customWidth="1"/>
    <col min="9" max="9" width="12" style="61" customWidth="1"/>
    <col min="10" max="10" width="11" style="61" customWidth="1"/>
    <col min="11" max="11" width="10" style="61" customWidth="1"/>
    <col min="12" max="12" width="11" style="61" customWidth="1"/>
    <col min="13" max="13" width="16" style="61" customWidth="1"/>
    <col min="14" max="15" width="13" style="61" customWidth="1"/>
    <col min="16" max="16" width="14" style="61" customWidth="1"/>
    <col min="17" max="17" width="12" style="61" customWidth="1"/>
    <col min="18" max="16384" width="8.7109375" style="61"/>
  </cols>
  <sheetData>
    <row r="1" spans="1:17" ht="27.75" customHeight="1" thickBot="1" x14ac:dyDescent="0.3">
      <c r="A1" s="102" t="s">
        <v>1736</v>
      </c>
      <c r="B1" s="102" t="s">
        <v>1737</v>
      </c>
      <c r="C1" s="102" t="s">
        <v>1738</v>
      </c>
      <c r="D1" s="102" t="s">
        <v>1739</v>
      </c>
      <c r="E1" s="102" t="s">
        <v>1740</v>
      </c>
      <c r="F1" s="102" t="s">
        <v>1741</v>
      </c>
      <c r="G1" s="102" t="s">
        <v>1742</v>
      </c>
      <c r="H1" s="102" t="s">
        <v>1743</v>
      </c>
      <c r="I1" s="102" t="s">
        <v>1744</v>
      </c>
      <c r="J1" s="102" t="s">
        <v>1745</v>
      </c>
      <c r="K1" s="102" t="s">
        <v>1746</v>
      </c>
      <c r="L1" s="102" t="s">
        <v>33</v>
      </c>
      <c r="M1" s="102" t="s">
        <v>1747</v>
      </c>
      <c r="N1" s="102" t="s">
        <v>1748</v>
      </c>
      <c r="O1" s="102" t="s">
        <v>1749</v>
      </c>
      <c r="P1" s="102" t="s">
        <v>1750</v>
      </c>
      <c r="Q1" s="102" t="s">
        <v>1751</v>
      </c>
    </row>
    <row r="2" spans="1:17" ht="15" customHeight="1" x14ac:dyDescent="0.25">
      <c r="A2" s="62" t="s">
        <v>1752</v>
      </c>
      <c r="B2" s="63" t="s">
        <v>1753</v>
      </c>
      <c r="C2" s="63" t="s">
        <v>96</v>
      </c>
      <c r="D2" s="63" t="s">
        <v>51</v>
      </c>
      <c r="E2" s="63">
        <v>486</v>
      </c>
      <c r="F2" s="63" t="s">
        <v>713</v>
      </c>
      <c r="G2" s="63"/>
      <c r="H2" s="63">
        <v>7.3</v>
      </c>
      <c r="I2" s="63"/>
      <c r="J2" s="63">
        <v>0</v>
      </c>
      <c r="K2" s="63" t="s">
        <v>1754</v>
      </c>
      <c r="L2" s="63" t="s">
        <v>220</v>
      </c>
      <c r="M2" s="63" t="s">
        <v>1755</v>
      </c>
      <c r="N2" s="63">
        <v>5.3</v>
      </c>
      <c r="O2" s="63" t="s">
        <v>1756</v>
      </c>
      <c r="P2" s="63"/>
      <c r="Q2" s="103">
        <v>78308</v>
      </c>
    </row>
    <row r="3" spans="1:17" ht="15" customHeight="1" x14ac:dyDescent="0.25">
      <c r="A3" s="49" t="s">
        <v>1757</v>
      </c>
      <c r="B3" s="50" t="s">
        <v>1758</v>
      </c>
      <c r="C3" s="50" t="s">
        <v>86</v>
      </c>
      <c r="D3" s="50" t="s">
        <v>51</v>
      </c>
      <c r="E3" s="50">
        <v>165</v>
      </c>
      <c r="F3" s="50" t="s">
        <v>1732</v>
      </c>
      <c r="G3" s="50" t="s">
        <v>1732</v>
      </c>
      <c r="H3" s="50">
        <v>2.1</v>
      </c>
      <c r="I3" s="50">
        <v>2.6</v>
      </c>
      <c r="J3" s="50">
        <v>0.5</v>
      </c>
      <c r="K3" s="50" t="s">
        <v>1759</v>
      </c>
      <c r="L3" s="50" t="s">
        <v>105</v>
      </c>
      <c r="M3" s="50" t="s">
        <v>1760</v>
      </c>
      <c r="N3" s="50">
        <v>4.2</v>
      </c>
      <c r="O3" s="104" t="s">
        <v>1761</v>
      </c>
      <c r="P3" s="50" t="s">
        <v>1762</v>
      </c>
      <c r="Q3" s="105">
        <v>33532</v>
      </c>
    </row>
    <row r="4" spans="1:17" ht="15" customHeight="1" x14ac:dyDescent="0.25">
      <c r="A4" s="49" t="s">
        <v>1763</v>
      </c>
      <c r="B4" s="50" t="s">
        <v>1764</v>
      </c>
      <c r="C4" s="50" t="s">
        <v>51</v>
      </c>
      <c r="D4" s="50" t="s">
        <v>62</v>
      </c>
      <c r="E4" s="50">
        <v>160</v>
      </c>
      <c r="F4" s="50" t="s">
        <v>1353</v>
      </c>
      <c r="G4" s="50"/>
      <c r="H4" s="50">
        <v>2.1</v>
      </c>
      <c r="I4" s="50"/>
      <c r="J4" s="50">
        <v>0</v>
      </c>
      <c r="K4" s="50" t="s">
        <v>1759</v>
      </c>
      <c r="L4" s="50" t="s">
        <v>160</v>
      </c>
      <c r="M4" s="50" t="s">
        <v>1765</v>
      </c>
      <c r="N4" s="50">
        <v>3.4</v>
      </c>
      <c r="O4" s="104" t="s">
        <v>1766</v>
      </c>
      <c r="P4" s="50"/>
      <c r="Q4" s="105">
        <v>23822</v>
      </c>
    </row>
    <row r="5" spans="1:17" ht="15" customHeight="1" x14ac:dyDescent="0.25">
      <c r="A5" s="49" t="s">
        <v>1767</v>
      </c>
      <c r="B5" s="50" t="s">
        <v>1768</v>
      </c>
      <c r="C5" s="50" t="s">
        <v>51</v>
      </c>
      <c r="D5" s="50" t="s">
        <v>103</v>
      </c>
      <c r="E5" s="50">
        <v>350</v>
      </c>
      <c r="F5" s="50" t="s">
        <v>1239</v>
      </c>
      <c r="G5" s="50" t="s">
        <v>1307</v>
      </c>
      <c r="H5" s="50">
        <v>4.9000000000000004</v>
      </c>
      <c r="I5" s="50">
        <v>5.4</v>
      </c>
      <c r="J5" s="50">
        <v>0.5</v>
      </c>
      <c r="K5" s="50" t="s">
        <v>1769</v>
      </c>
      <c r="L5" s="50" t="s">
        <v>240</v>
      </c>
      <c r="M5" s="50" t="s">
        <v>1770</v>
      </c>
      <c r="N5" s="50">
        <v>24.3</v>
      </c>
      <c r="O5" s="104" t="s">
        <v>1761</v>
      </c>
      <c r="P5" s="50" t="s">
        <v>1762</v>
      </c>
      <c r="Q5" s="105">
        <v>67095</v>
      </c>
    </row>
    <row r="6" spans="1:17" ht="15" customHeight="1" x14ac:dyDescent="0.25">
      <c r="A6" s="49" t="s">
        <v>1771</v>
      </c>
      <c r="B6" s="50" t="s">
        <v>1772</v>
      </c>
      <c r="C6" s="50" t="s">
        <v>51</v>
      </c>
      <c r="D6" s="50" t="s">
        <v>91</v>
      </c>
      <c r="E6" s="50">
        <v>64</v>
      </c>
      <c r="F6" s="50" t="s">
        <v>1534</v>
      </c>
      <c r="G6" s="50" t="s">
        <v>1773</v>
      </c>
      <c r="H6" s="50">
        <v>1.1000000000000001</v>
      </c>
      <c r="I6" s="50">
        <v>1.6</v>
      </c>
      <c r="J6" s="50">
        <v>0.5</v>
      </c>
      <c r="K6" s="50" t="s">
        <v>1774</v>
      </c>
      <c r="L6" s="50" t="s">
        <v>189</v>
      </c>
      <c r="M6" s="50" t="s">
        <v>731</v>
      </c>
      <c r="N6" s="50">
        <v>10.7</v>
      </c>
      <c r="O6" s="104" t="s">
        <v>1761</v>
      </c>
      <c r="P6" s="50" t="s">
        <v>1775</v>
      </c>
      <c r="Q6" s="105">
        <v>12627</v>
      </c>
    </row>
    <row r="7" spans="1:17" ht="15" customHeight="1" x14ac:dyDescent="0.25">
      <c r="A7" s="49" t="s">
        <v>1776</v>
      </c>
      <c r="B7" s="50" t="s">
        <v>1777</v>
      </c>
      <c r="C7" s="50" t="s">
        <v>68</v>
      </c>
      <c r="D7" s="50" t="s">
        <v>86</v>
      </c>
      <c r="E7" s="50">
        <v>135</v>
      </c>
      <c r="F7" s="50" t="s">
        <v>1778</v>
      </c>
      <c r="G7" s="50" t="s">
        <v>1103</v>
      </c>
      <c r="H7" s="50">
        <v>2.5</v>
      </c>
      <c r="I7" s="50">
        <v>2.5</v>
      </c>
      <c r="J7" s="50">
        <v>0</v>
      </c>
      <c r="K7" s="50" t="s">
        <v>1779</v>
      </c>
      <c r="L7" s="50" t="s">
        <v>265</v>
      </c>
      <c r="M7" s="50" t="s">
        <v>1755</v>
      </c>
      <c r="N7" s="50">
        <v>21.5</v>
      </c>
      <c r="O7" s="104" t="s">
        <v>1761</v>
      </c>
      <c r="P7" s="50" t="s">
        <v>1780</v>
      </c>
      <c r="Q7" s="105">
        <v>29107</v>
      </c>
    </row>
    <row r="8" spans="1:17" ht="15" customHeight="1" x14ac:dyDescent="0.25">
      <c r="A8" s="49" t="s">
        <v>1781</v>
      </c>
      <c r="B8" s="50" t="s">
        <v>1782</v>
      </c>
      <c r="C8" s="50" t="s">
        <v>51</v>
      </c>
      <c r="D8" s="50" t="s">
        <v>96</v>
      </c>
      <c r="E8" s="50">
        <v>486</v>
      </c>
      <c r="F8" s="50" t="s">
        <v>813</v>
      </c>
      <c r="G8" s="50" t="s">
        <v>933</v>
      </c>
      <c r="H8" s="50">
        <v>8.5</v>
      </c>
      <c r="I8" s="50">
        <v>9.5</v>
      </c>
      <c r="J8" s="50">
        <v>1</v>
      </c>
      <c r="K8" s="50" t="s">
        <v>1783</v>
      </c>
      <c r="L8" s="50" t="s">
        <v>197</v>
      </c>
      <c r="M8" s="50" t="s">
        <v>1784</v>
      </c>
      <c r="N8" s="50">
        <v>14</v>
      </c>
      <c r="O8" s="104" t="s">
        <v>1761</v>
      </c>
      <c r="P8" s="50" t="s">
        <v>1775</v>
      </c>
      <c r="Q8" s="105">
        <v>76441</v>
      </c>
    </row>
    <row r="9" spans="1:17" ht="15" customHeight="1" x14ac:dyDescent="0.25">
      <c r="A9" s="49" t="s">
        <v>1785</v>
      </c>
      <c r="B9" s="50" t="s">
        <v>1786</v>
      </c>
      <c r="C9" s="50" t="s">
        <v>131</v>
      </c>
      <c r="D9" s="50" t="s">
        <v>119</v>
      </c>
      <c r="E9" s="50">
        <v>360</v>
      </c>
      <c r="F9" s="50" t="s">
        <v>884</v>
      </c>
      <c r="G9" s="50" t="s">
        <v>1787</v>
      </c>
      <c r="H9" s="50">
        <v>4.8</v>
      </c>
      <c r="I9" s="50">
        <v>4.5</v>
      </c>
      <c r="J9" s="50">
        <v>0</v>
      </c>
      <c r="K9" s="50" t="s">
        <v>1769</v>
      </c>
      <c r="L9" s="50" t="s">
        <v>194</v>
      </c>
      <c r="M9" s="50" t="s">
        <v>1770</v>
      </c>
      <c r="N9" s="50">
        <v>9.6999999999999993</v>
      </c>
      <c r="O9" s="104" t="s">
        <v>1761</v>
      </c>
      <c r="P9" s="50" t="s">
        <v>1780</v>
      </c>
      <c r="Q9" s="105">
        <v>54434</v>
      </c>
    </row>
    <row r="10" spans="1:17" ht="15" customHeight="1" x14ac:dyDescent="0.25">
      <c r="A10" s="49" t="s">
        <v>1788</v>
      </c>
      <c r="B10" s="50" t="s">
        <v>1768</v>
      </c>
      <c r="C10" s="50" t="s">
        <v>51</v>
      </c>
      <c r="D10" s="50" t="s">
        <v>103</v>
      </c>
      <c r="E10" s="50">
        <v>350</v>
      </c>
      <c r="F10" s="50" t="s">
        <v>1789</v>
      </c>
      <c r="G10" s="50" t="s">
        <v>1008</v>
      </c>
      <c r="H10" s="50">
        <v>6.7</v>
      </c>
      <c r="I10" s="50">
        <v>9.8000000000000007</v>
      </c>
      <c r="J10" s="50">
        <v>3.1</v>
      </c>
      <c r="K10" s="50" t="s">
        <v>1769</v>
      </c>
      <c r="L10" s="50" t="s">
        <v>231</v>
      </c>
      <c r="M10" s="50" t="s">
        <v>1790</v>
      </c>
      <c r="N10" s="50">
        <v>24.3</v>
      </c>
      <c r="O10" s="104" t="s">
        <v>1761</v>
      </c>
      <c r="P10" s="50" t="s">
        <v>1775</v>
      </c>
      <c r="Q10" s="105">
        <v>84426</v>
      </c>
    </row>
    <row r="11" spans="1:17" ht="15" customHeight="1" x14ac:dyDescent="0.25">
      <c r="A11" s="49" t="s">
        <v>1791</v>
      </c>
      <c r="B11" s="50" t="s">
        <v>1792</v>
      </c>
      <c r="C11" s="50" t="s">
        <v>51</v>
      </c>
      <c r="D11" s="50" t="s">
        <v>86</v>
      </c>
      <c r="E11" s="50">
        <v>165</v>
      </c>
      <c r="F11" s="50" t="s">
        <v>993</v>
      </c>
      <c r="G11" s="50" t="s">
        <v>1778</v>
      </c>
      <c r="H11" s="50">
        <v>2.2999999999999998</v>
      </c>
      <c r="I11" s="50">
        <v>2.2999999999999998</v>
      </c>
      <c r="J11" s="50">
        <v>0</v>
      </c>
      <c r="K11" s="50" t="s">
        <v>1754</v>
      </c>
      <c r="L11" s="50" t="s">
        <v>226</v>
      </c>
      <c r="M11" s="50" t="s">
        <v>1784</v>
      </c>
      <c r="N11" s="50">
        <v>4.2</v>
      </c>
      <c r="O11" s="104" t="s">
        <v>1761</v>
      </c>
      <c r="P11" s="50" t="s">
        <v>1780</v>
      </c>
      <c r="Q11" s="105">
        <v>19956</v>
      </c>
    </row>
    <row r="12" spans="1:17" ht="15" customHeight="1" x14ac:dyDescent="0.25">
      <c r="A12" s="49" t="s">
        <v>1793</v>
      </c>
      <c r="B12" s="50" t="s">
        <v>1786</v>
      </c>
      <c r="C12" s="50" t="s">
        <v>131</v>
      </c>
      <c r="D12" s="50" t="s">
        <v>119</v>
      </c>
      <c r="E12" s="50">
        <v>360</v>
      </c>
      <c r="F12" s="50" t="s">
        <v>1030</v>
      </c>
      <c r="G12" s="50" t="s">
        <v>1602</v>
      </c>
      <c r="H12" s="50">
        <v>5.2</v>
      </c>
      <c r="I12" s="50">
        <v>7.7</v>
      </c>
      <c r="J12" s="50">
        <v>2.5</v>
      </c>
      <c r="K12" s="50" t="s">
        <v>1794</v>
      </c>
      <c r="L12" s="50" t="s">
        <v>225</v>
      </c>
      <c r="M12" s="50" t="s">
        <v>1784</v>
      </c>
      <c r="N12" s="50">
        <v>18.5</v>
      </c>
      <c r="O12" s="104" t="s">
        <v>1761</v>
      </c>
      <c r="P12" s="50" t="s">
        <v>1775</v>
      </c>
      <c r="Q12" s="105">
        <v>85498</v>
      </c>
    </row>
    <row r="13" spans="1:17" ht="15" customHeight="1" x14ac:dyDescent="0.25">
      <c r="A13" s="49" t="s">
        <v>1795</v>
      </c>
      <c r="B13" s="50" t="s">
        <v>1792</v>
      </c>
      <c r="C13" s="50" t="s">
        <v>51</v>
      </c>
      <c r="D13" s="50" t="s">
        <v>86</v>
      </c>
      <c r="E13" s="50">
        <v>165</v>
      </c>
      <c r="F13" s="50" t="s">
        <v>1796</v>
      </c>
      <c r="G13" s="50" t="s">
        <v>773</v>
      </c>
      <c r="H13" s="50">
        <v>3.1</v>
      </c>
      <c r="I13" s="50">
        <v>4.5999999999999996</v>
      </c>
      <c r="J13" s="50">
        <v>1.5</v>
      </c>
      <c r="K13" s="50" t="s">
        <v>1797</v>
      </c>
      <c r="L13" s="50" t="s">
        <v>95</v>
      </c>
      <c r="M13" s="50" t="s">
        <v>1790</v>
      </c>
      <c r="N13" s="50">
        <v>15.1</v>
      </c>
      <c r="O13" s="104" t="s">
        <v>1761</v>
      </c>
      <c r="P13" s="50" t="s">
        <v>1798</v>
      </c>
      <c r="Q13" s="105">
        <v>37641</v>
      </c>
    </row>
    <row r="14" spans="1:17" ht="15" customHeight="1" x14ac:dyDescent="0.25">
      <c r="A14" s="49" t="s">
        <v>1799</v>
      </c>
      <c r="B14" s="50" t="s">
        <v>1777</v>
      </c>
      <c r="C14" s="50" t="s">
        <v>68</v>
      </c>
      <c r="D14" s="50" t="s">
        <v>86</v>
      </c>
      <c r="E14" s="50">
        <v>135</v>
      </c>
      <c r="F14" s="50" t="s">
        <v>319</v>
      </c>
      <c r="G14" s="50" t="s">
        <v>892</v>
      </c>
      <c r="H14" s="50">
        <v>2.1</v>
      </c>
      <c r="I14" s="50">
        <v>2.2000000000000002</v>
      </c>
      <c r="J14" s="50">
        <v>0.1</v>
      </c>
      <c r="K14" s="50" t="s">
        <v>1769</v>
      </c>
      <c r="L14" s="50" t="s">
        <v>144</v>
      </c>
      <c r="M14" s="50" t="s">
        <v>1765</v>
      </c>
      <c r="N14" s="50">
        <v>22.3</v>
      </c>
      <c r="O14" s="104" t="s">
        <v>1761</v>
      </c>
      <c r="P14" s="50" t="s">
        <v>1775</v>
      </c>
      <c r="Q14" s="105">
        <v>30692</v>
      </c>
    </row>
    <row r="15" spans="1:17" ht="15" customHeight="1" x14ac:dyDescent="0.25">
      <c r="A15" s="49" t="s">
        <v>1800</v>
      </c>
      <c r="B15" s="50" t="s">
        <v>1782</v>
      </c>
      <c r="C15" s="50" t="s">
        <v>51</v>
      </c>
      <c r="D15" s="50" t="s">
        <v>96</v>
      </c>
      <c r="E15" s="50">
        <v>486</v>
      </c>
      <c r="F15" s="50" t="s">
        <v>1099</v>
      </c>
      <c r="G15" s="50" t="s">
        <v>1801</v>
      </c>
      <c r="H15" s="50">
        <v>7.5</v>
      </c>
      <c r="I15" s="50">
        <v>7.2</v>
      </c>
      <c r="J15" s="50">
        <v>0</v>
      </c>
      <c r="K15" s="50" t="s">
        <v>1797</v>
      </c>
      <c r="L15" s="50" t="s">
        <v>56</v>
      </c>
      <c r="M15" s="50" t="s">
        <v>1755</v>
      </c>
      <c r="N15" s="50">
        <v>14.1</v>
      </c>
      <c r="O15" s="104" t="s">
        <v>1761</v>
      </c>
      <c r="P15" s="50" t="s">
        <v>1780</v>
      </c>
      <c r="Q15" s="105">
        <v>114563</v>
      </c>
    </row>
    <row r="16" spans="1:17" ht="15" customHeight="1" x14ac:dyDescent="0.25">
      <c r="A16" s="49" t="s">
        <v>1802</v>
      </c>
      <c r="B16" s="50" t="s">
        <v>1792</v>
      </c>
      <c r="C16" s="50" t="s">
        <v>51</v>
      </c>
      <c r="D16" s="50" t="s">
        <v>86</v>
      </c>
      <c r="E16" s="50">
        <v>165</v>
      </c>
      <c r="F16" s="50" t="s">
        <v>1122</v>
      </c>
      <c r="G16" s="50"/>
      <c r="H16" s="50">
        <v>3.1</v>
      </c>
      <c r="I16" s="50"/>
      <c r="J16" s="50">
        <v>0</v>
      </c>
      <c r="K16" s="50" t="s">
        <v>1803</v>
      </c>
      <c r="L16" s="50" t="s">
        <v>140</v>
      </c>
      <c r="M16" s="50" t="s">
        <v>1765</v>
      </c>
      <c r="N16" s="50">
        <v>16.100000000000001</v>
      </c>
      <c r="O16" s="104" t="s">
        <v>700</v>
      </c>
      <c r="P16" s="50"/>
      <c r="Q16" s="105">
        <v>28610</v>
      </c>
    </row>
    <row r="17" spans="1:17" ht="15" customHeight="1" x14ac:dyDescent="0.25">
      <c r="A17" s="49" t="s">
        <v>1804</v>
      </c>
      <c r="B17" s="50" t="s">
        <v>1805</v>
      </c>
      <c r="C17" s="50" t="s">
        <v>51</v>
      </c>
      <c r="D17" s="50" t="s">
        <v>131</v>
      </c>
      <c r="E17" s="50">
        <v>44</v>
      </c>
      <c r="F17" s="50" t="s">
        <v>775</v>
      </c>
      <c r="G17" s="50" t="s">
        <v>775</v>
      </c>
      <c r="H17" s="50">
        <v>0.6</v>
      </c>
      <c r="I17" s="50">
        <v>0.7</v>
      </c>
      <c r="J17" s="50">
        <v>0.1</v>
      </c>
      <c r="K17" s="50" t="s">
        <v>1769</v>
      </c>
      <c r="L17" s="50" t="s">
        <v>147</v>
      </c>
      <c r="M17" s="50" t="s">
        <v>1790</v>
      </c>
      <c r="N17" s="50">
        <v>12.2</v>
      </c>
      <c r="O17" s="104" t="s">
        <v>1761</v>
      </c>
      <c r="P17" s="50" t="s">
        <v>1775</v>
      </c>
      <c r="Q17" s="105">
        <v>9922</v>
      </c>
    </row>
    <row r="18" spans="1:17" ht="15" customHeight="1" x14ac:dyDescent="0.25">
      <c r="A18" s="49" t="s">
        <v>1806</v>
      </c>
      <c r="B18" s="50" t="s">
        <v>1768</v>
      </c>
      <c r="C18" s="50" t="s">
        <v>51</v>
      </c>
      <c r="D18" s="50" t="s">
        <v>103</v>
      </c>
      <c r="E18" s="50">
        <v>350</v>
      </c>
      <c r="F18" s="50" t="s">
        <v>1125</v>
      </c>
      <c r="G18" s="50" t="s">
        <v>1125</v>
      </c>
      <c r="H18" s="50">
        <v>5.5</v>
      </c>
      <c r="I18" s="50">
        <v>7.8</v>
      </c>
      <c r="J18" s="50">
        <v>2.2999999999999998</v>
      </c>
      <c r="K18" s="50" t="s">
        <v>1807</v>
      </c>
      <c r="L18" s="50" t="s">
        <v>180</v>
      </c>
      <c r="M18" s="50" t="s">
        <v>1784</v>
      </c>
      <c r="N18" s="50">
        <v>13.3</v>
      </c>
      <c r="O18" s="104" t="s">
        <v>1761</v>
      </c>
      <c r="P18" s="50" t="s">
        <v>1808</v>
      </c>
      <c r="Q18" s="105">
        <v>50625</v>
      </c>
    </row>
    <row r="19" spans="1:17" ht="15" customHeight="1" x14ac:dyDescent="0.25">
      <c r="A19" s="49" t="s">
        <v>1809</v>
      </c>
      <c r="B19" s="50" t="s">
        <v>1782</v>
      </c>
      <c r="C19" s="50" t="s">
        <v>51</v>
      </c>
      <c r="D19" s="50" t="s">
        <v>96</v>
      </c>
      <c r="E19" s="50">
        <v>486</v>
      </c>
      <c r="F19" s="50" t="s">
        <v>1810</v>
      </c>
      <c r="G19" s="50"/>
      <c r="H19" s="50">
        <v>6.7</v>
      </c>
      <c r="I19" s="50"/>
      <c r="J19" s="50">
        <v>0</v>
      </c>
      <c r="K19" s="50" t="s">
        <v>1794</v>
      </c>
      <c r="L19" s="50" t="s">
        <v>85</v>
      </c>
      <c r="M19" s="50" t="s">
        <v>731</v>
      </c>
      <c r="N19" s="50">
        <v>20.2</v>
      </c>
      <c r="O19" s="104" t="s">
        <v>700</v>
      </c>
      <c r="P19" s="50"/>
      <c r="Q19" s="105">
        <v>118954</v>
      </c>
    </row>
    <row r="20" spans="1:17" ht="15" customHeight="1" x14ac:dyDescent="0.25">
      <c r="A20" s="49" t="s">
        <v>1811</v>
      </c>
      <c r="B20" s="50" t="s">
        <v>1812</v>
      </c>
      <c r="C20" s="50" t="s">
        <v>86</v>
      </c>
      <c r="D20" s="50" t="s">
        <v>68</v>
      </c>
      <c r="E20" s="50">
        <v>135</v>
      </c>
      <c r="F20" s="50" t="s">
        <v>1259</v>
      </c>
      <c r="G20" s="50"/>
      <c r="H20" s="50">
        <v>2</v>
      </c>
      <c r="I20" s="50"/>
      <c r="J20" s="50">
        <v>0</v>
      </c>
      <c r="K20" s="50" t="s">
        <v>1774</v>
      </c>
      <c r="L20" s="50" t="s">
        <v>264</v>
      </c>
      <c r="M20" s="50" t="s">
        <v>1784</v>
      </c>
      <c r="N20" s="50">
        <v>4.3</v>
      </c>
      <c r="O20" s="50" t="s">
        <v>1756</v>
      </c>
      <c r="P20" s="50"/>
      <c r="Q20" s="105">
        <v>29895</v>
      </c>
    </row>
    <row r="21" spans="1:17" ht="15" customHeight="1" x14ac:dyDescent="0.25">
      <c r="A21" s="49" t="s">
        <v>1813</v>
      </c>
      <c r="B21" s="50" t="s">
        <v>1786</v>
      </c>
      <c r="C21" s="50" t="s">
        <v>131</v>
      </c>
      <c r="D21" s="50" t="s">
        <v>119</v>
      </c>
      <c r="E21" s="50">
        <v>360</v>
      </c>
      <c r="F21" s="50" t="s">
        <v>1814</v>
      </c>
      <c r="G21" s="50" t="s">
        <v>1814</v>
      </c>
      <c r="H21" s="50">
        <v>4.5999999999999996</v>
      </c>
      <c r="I21" s="50">
        <v>6.3</v>
      </c>
      <c r="J21" s="50">
        <v>1.7</v>
      </c>
      <c r="K21" s="50" t="s">
        <v>1774</v>
      </c>
      <c r="L21" s="50" t="s">
        <v>74</v>
      </c>
      <c r="M21" s="50" t="s">
        <v>731</v>
      </c>
      <c r="N21" s="50">
        <v>5.0999999999999996</v>
      </c>
      <c r="O21" s="104" t="s">
        <v>1761</v>
      </c>
      <c r="P21" s="50" t="s">
        <v>1808</v>
      </c>
      <c r="Q21" s="105">
        <v>74945</v>
      </c>
    </row>
    <row r="22" spans="1:17" ht="15" customHeight="1" x14ac:dyDescent="0.25">
      <c r="A22" s="49" t="s">
        <v>1815</v>
      </c>
      <c r="B22" s="50" t="s">
        <v>1764</v>
      </c>
      <c r="C22" s="50" t="s">
        <v>51</v>
      </c>
      <c r="D22" s="50" t="s">
        <v>62</v>
      </c>
      <c r="E22" s="50">
        <v>160</v>
      </c>
      <c r="F22" s="50" t="s">
        <v>803</v>
      </c>
      <c r="G22" s="50"/>
      <c r="H22" s="50">
        <v>3.2</v>
      </c>
      <c r="I22" s="50"/>
      <c r="J22" s="50">
        <v>0</v>
      </c>
      <c r="K22" s="50" t="s">
        <v>1803</v>
      </c>
      <c r="L22" s="50" t="s">
        <v>164</v>
      </c>
      <c r="M22" s="50" t="s">
        <v>1760</v>
      </c>
      <c r="N22" s="50">
        <v>14.8</v>
      </c>
      <c r="O22" s="50" t="s">
        <v>1756</v>
      </c>
      <c r="P22" s="50"/>
      <c r="Q22" s="105">
        <v>24353</v>
      </c>
    </row>
    <row r="23" spans="1:17" ht="15" customHeight="1" x14ac:dyDescent="0.25">
      <c r="A23" s="49" t="s">
        <v>1816</v>
      </c>
      <c r="B23" s="50" t="s">
        <v>1792</v>
      </c>
      <c r="C23" s="50" t="s">
        <v>51</v>
      </c>
      <c r="D23" s="50" t="s">
        <v>86</v>
      </c>
      <c r="E23" s="50">
        <v>165</v>
      </c>
      <c r="F23" s="50" t="s">
        <v>1346</v>
      </c>
      <c r="G23" s="50"/>
      <c r="H23" s="50">
        <v>2.2999999999999998</v>
      </c>
      <c r="I23" s="50"/>
      <c r="J23" s="50">
        <v>0</v>
      </c>
      <c r="K23" s="50" t="s">
        <v>1817</v>
      </c>
      <c r="L23" s="50" t="s">
        <v>157</v>
      </c>
      <c r="M23" s="50" t="s">
        <v>1784</v>
      </c>
      <c r="N23" s="50">
        <v>7.8</v>
      </c>
      <c r="O23" s="50" t="s">
        <v>1756</v>
      </c>
      <c r="P23" s="50"/>
      <c r="Q23" s="105">
        <v>24056</v>
      </c>
    </row>
    <row r="24" spans="1:17" ht="15" customHeight="1" x14ac:dyDescent="0.25">
      <c r="A24" s="49" t="s">
        <v>1818</v>
      </c>
      <c r="B24" s="50" t="s">
        <v>1819</v>
      </c>
      <c r="C24" s="50" t="s">
        <v>103</v>
      </c>
      <c r="D24" s="50" t="s">
        <v>51</v>
      </c>
      <c r="E24" s="50">
        <v>350</v>
      </c>
      <c r="F24" s="50" t="s">
        <v>1457</v>
      </c>
      <c r="G24" s="50" t="s">
        <v>1457</v>
      </c>
      <c r="H24" s="50">
        <v>5.4</v>
      </c>
      <c r="I24" s="50">
        <v>5.6</v>
      </c>
      <c r="J24" s="50">
        <v>0.2</v>
      </c>
      <c r="K24" s="50" t="s">
        <v>1807</v>
      </c>
      <c r="L24" s="50" t="s">
        <v>138</v>
      </c>
      <c r="M24" s="50" t="s">
        <v>1770</v>
      </c>
      <c r="N24" s="50">
        <v>17.899999999999999</v>
      </c>
      <c r="O24" s="104" t="s">
        <v>1761</v>
      </c>
      <c r="P24" s="50" t="s">
        <v>1820</v>
      </c>
      <c r="Q24" s="105">
        <v>43746</v>
      </c>
    </row>
    <row r="25" spans="1:17" ht="15" customHeight="1" x14ac:dyDescent="0.25">
      <c r="A25" s="49" t="s">
        <v>1821</v>
      </c>
      <c r="B25" s="50" t="s">
        <v>1822</v>
      </c>
      <c r="C25" s="50" t="s">
        <v>96</v>
      </c>
      <c r="D25" s="50" t="s">
        <v>83</v>
      </c>
      <c r="E25" s="50">
        <v>120</v>
      </c>
      <c r="F25" s="50" t="s">
        <v>424</v>
      </c>
      <c r="G25" s="50" t="s">
        <v>424</v>
      </c>
      <c r="H25" s="50">
        <v>1.8</v>
      </c>
      <c r="I25" s="50">
        <v>2.2999999999999998</v>
      </c>
      <c r="J25" s="50">
        <v>0.5</v>
      </c>
      <c r="K25" s="50" t="s">
        <v>1823</v>
      </c>
      <c r="L25" s="50" t="s">
        <v>95</v>
      </c>
      <c r="M25" s="50" t="s">
        <v>1790</v>
      </c>
      <c r="N25" s="50">
        <v>12.5</v>
      </c>
      <c r="O25" s="104" t="s">
        <v>1761</v>
      </c>
      <c r="P25" s="50" t="s">
        <v>1798</v>
      </c>
      <c r="Q25" s="105">
        <v>19644</v>
      </c>
    </row>
    <row r="26" spans="1:17" ht="15" customHeight="1" x14ac:dyDescent="0.25">
      <c r="A26" s="49" t="s">
        <v>1824</v>
      </c>
      <c r="B26" s="50" t="s">
        <v>1825</v>
      </c>
      <c r="C26" s="50" t="s">
        <v>103</v>
      </c>
      <c r="D26" s="50" t="s">
        <v>72</v>
      </c>
      <c r="E26" s="50">
        <v>64</v>
      </c>
      <c r="F26" s="50" t="s">
        <v>748</v>
      </c>
      <c r="G26" s="50"/>
      <c r="H26" s="50">
        <v>0.9</v>
      </c>
      <c r="I26" s="50"/>
      <c r="J26" s="50">
        <v>0</v>
      </c>
      <c r="K26" s="50" t="s">
        <v>1769</v>
      </c>
      <c r="L26" s="50" t="s">
        <v>116</v>
      </c>
      <c r="M26" s="50" t="s">
        <v>1760</v>
      </c>
      <c r="N26" s="50">
        <v>11.2</v>
      </c>
      <c r="O26" s="104" t="s">
        <v>700</v>
      </c>
      <c r="P26" s="50"/>
      <c r="Q26" s="105">
        <v>13600</v>
      </c>
    </row>
    <row r="27" spans="1:17" ht="15" customHeight="1" x14ac:dyDescent="0.25">
      <c r="A27" s="49" t="s">
        <v>1826</v>
      </c>
      <c r="B27" s="50" t="s">
        <v>1822</v>
      </c>
      <c r="C27" s="50" t="s">
        <v>96</v>
      </c>
      <c r="D27" s="50" t="s">
        <v>83</v>
      </c>
      <c r="E27" s="50">
        <v>120</v>
      </c>
      <c r="F27" s="50" t="s">
        <v>1283</v>
      </c>
      <c r="G27" s="50" t="s">
        <v>1827</v>
      </c>
      <c r="H27" s="50">
        <v>2.2999999999999998</v>
      </c>
      <c r="I27" s="50">
        <v>2.5</v>
      </c>
      <c r="J27" s="50">
        <v>0.2</v>
      </c>
      <c r="K27" s="50" t="s">
        <v>1779</v>
      </c>
      <c r="L27" s="50" t="s">
        <v>259</v>
      </c>
      <c r="M27" s="50" t="s">
        <v>1784</v>
      </c>
      <c r="N27" s="50">
        <v>10</v>
      </c>
      <c r="O27" s="104" t="s">
        <v>1761</v>
      </c>
      <c r="P27" s="50" t="s">
        <v>1808</v>
      </c>
      <c r="Q27" s="105">
        <v>21122</v>
      </c>
    </row>
    <row r="28" spans="1:17" ht="15" customHeight="1" x14ac:dyDescent="0.25">
      <c r="A28" s="49" t="s">
        <v>1828</v>
      </c>
      <c r="B28" s="50" t="s">
        <v>1812</v>
      </c>
      <c r="C28" s="50" t="s">
        <v>86</v>
      </c>
      <c r="D28" s="50" t="s">
        <v>68</v>
      </c>
      <c r="E28" s="50">
        <v>135</v>
      </c>
      <c r="F28" s="50" t="s">
        <v>1281</v>
      </c>
      <c r="G28" s="50"/>
      <c r="H28" s="50">
        <v>2.2999999999999998</v>
      </c>
      <c r="I28" s="50"/>
      <c r="J28" s="50">
        <v>0</v>
      </c>
      <c r="K28" s="50" t="s">
        <v>1823</v>
      </c>
      <c r="L28" s="50" t="s">
        <v>261</v>
      </c>
      <c r="M28" s="50" t="s">
        <v>1765</v>
      </c>
      <c r="N28" s="50">
        <v>20.6</v>
      </c>
      <c r="O28" s="50" t="s">
        <v>1756</v>
      </c>
      <c r="P28" s="50"/>
      <c r="Q28" s="105">
        <v>18487</v>
      </c>
    </row>
    <row r="29" spans="1:17" ht="15" customHeight="1" x14ac:dyDescent="0.25">
      <c r="A29" s="49" t="s">
        <v>1829</v>
      </c>
      <c r="B29" s="50" t="s">
        <v>1764</v>
      </c>
      <c r="C29" s="50" t="s">
        <v>51</v>
      </c>
      <c r="D29" s="50" t="s">
        <v>62</v>
      </c>
      <c r="E29" s="50">
        <v>160</v>
      </c>
      <c r="F29" s="50" t="s">
        <v>813</v>
      </c>
      <c r="G29" s="50" t="s">
        <v>813</v>
      </c>
      <c r="H29" s="50">
        <v>2.4</v>
      </c>
      <c r="I29" s="50">
        <v>2.7</v>
      </c>
      <c r="J29" s="50">
        <v>0.3</v>
      </c>
      <c r="K29" s="50" t="s">
        <v>1783</v>
      </c>
      <c r="L29" s="50" t="s">
        <v>185</v>
      </c>
      <c r="M29" s="50" t="s">
        <v>731</v>
      </c>
      <c r="N29" s="50">
        <v>19.7</v>
      </c>
      <c r="O29" s="104" t="s">
        <v>1761</v>
      </c>
      <c r="P29" s="50" t="s">
        <v>1798</v>
      </c>
      <c r="Q29" s="105">
        <v>32295</v>
      </c>
    </row>
    <row r="30" spans="1:17" ht="15" customHeight="1" x14ac:dyDescent="0.25">
      <c r="A30" s="49" t="s">
        <v>1830</v>
      </c>
      <c r="B30" s="50" t="s">
        <v>1772</v>
      </c>
      <c r="C30" s="50" t="s">
        <v>51</v>
      </c>
      <c r="D30" s="50" t="s">
        <v>91</v>
      </c>
      <c r="E30" s="50">
        <v>64</v>
      </c>
      <c r="F30" s="50" t="s">
        <v>1505</v>
      </c>
      <c r="G30" s="50" t="s">
        <v>1505</v>
      </c>
      <c r="H30" s="50">
        <v>0.8</v>
      </c>
      <c r="I30" s="50">
        <v>1.2</v>
      </c>
      <c r="J30" s="50">
        <v>0.4</v>
      </c>
      <c r="K30" s="50" t="s">
        <v>1794</v>
      </c>
      <c r="L30" s="50" t="s">
        <v>257</v>
      </c>
      <c r="M30" s="50" t="s">
        <v>1770</v>
      </c>
      <c r="N30" s="50">
        <v>6.1</v>
      </c>
      <c r="O30" s="104" t="s">
        <v>1761</v>
      </c>
      <c r="P30" s="50" t="s">
        <v>1775</v>
      </c>
      <c r="Q30" s="105">
        <v>12830</v>
      </c>
    </row>
    <row r="31" spans="1:17" ht="15" customHeight="1" x14ac:dyDescent="0.25">
      <c r="A31" s="49" t="s">
        <v>1831</v>
      </c>
      <c r="B31" s="50" t="s">
        <v>1812</v>
      </c>
      <c r="C31" s="50" t="s">
        <v>86</v>
      </c>
      <c r="D31" s="50" t="s">
        <v>68</v>
      </c>
      <c r="E31" s="50">
        <v>135</v>
      </c>
      <c r="F31" s="50" t="s">
        <v>1513</v>
      </c>
      <c r="G31" s="50" t="s">
        <v>1320</v>
      </c>
      <c r="H31" s="50">
        <v>1.9</v>
      </c>
      <c r="I31" s="50">
        <v>2.7</v>
      </c>
      <c r="J31" s="50">
        <v>0.8</v>
      </c>
      <c r="K31" s="50" t="s">
        <v>1779</v>
      </c>
      <c r="L31" s="50" t="s">
        <v>121</v>
      </c>
      <c r="M31" s="50" t="s">
        <v>731</v>
      </c>
      <c r="N31" s="50">
        <v>12.8</v>
      </c>
      <c r="O31" s="104" t="s">
        <v>1761</v>
      </c>
      <c r="P31" s="50" t="s">
        <v>1762</v>
      </c>
      <c r="Q31" s="105">
        <v>31906</v>
      </c>
    </row>
    <row r="32" spans="1:17" ht="15" customHeight="1" x14ac:dyDescent="0.25">
      <c r="A32" s="49" t="s">
        <v>1832</v>
      </c>
      <c r="B32" s="50" t="s">
        <v>1825</v>
      </c>
      <c r="C32" s="50" t="s">
        <v>103</v>
      </c>
      <c r="D32" s="50" t="s">
        <v>72</v>
      </c>
      <c r="E32" s="50">
        <v>64</v>
      </c>
      <c r="F32" s="50" t="s">
        <v>1833</v>
      </c>
      <c r="G32" s="50" t="s">
        <v>1833</v>
      </c>
      <c r="H32" s="50">
        <v>1</v>
      </c>
      <c r="I32" s="50">
        <v>1.3</v>
      </c>
      <c r="J32" s="50">
        <v>0.3</v>
      </c>
      <c r="K32" s="50" t="s">
        <v>1834</v>
      </c>
      <c r="L32" s="50" t="s">
        <v>218</v>
      </c>
      <c r="M32" s="50" t="s">
        <v>1770</v>
      </c>
      <c r="N32" s="50">
        <v>1.1000000000000001</v>
      </c>
      <c r="O32" s="104" t="s">
        <v>1761</v>
      </c>
      <c r="P32" s="50" t="s">
        <v>1762</v>
      </c>
      <c r="Q32" s="105">
        <v>8058</v>
      </c>
    </row>
    <row r="33" spans="1:17" ht="15" customHeight="1" x14ac:dyDescent="0.25">
      <c r="A33" s="49" t="s">
        <v>1835</v>
      </c>
      <c r="B33" s="50" t="s">
        <v>1772</v>
      </c>
      <c r="C33" s="50" t="s">
        <v>51</v>
      </c>
      <c r="D33" s="50" t="s">
        <v>91</v>
      </c>
      <c r="E33" s="50">
        <v>64</v>
      </c>
      <c r="F33" s="50" t="s">
        <v>1456</v>
      </c>
      <c r="G33" s="50" t="s">
        <v>1604</v>
      </c>
      <c r="H33" s="50">
        <v>0.9</v>
      </c>
      <c r="I33" s="50">
        <v>0.9</v>
      </c>
      <c r="J33" s="50">
        <v>0</v>
      </c>
      <c r="K33" s="50" t="s">
        <v>1836</v>
      </c>
      <c r="L33" s="50" t="s">
        <v>216</v>
      </c>
      <c r="M33" s="50" t="s">
        <v>1784</v>
      </c>
      <c r="N33" s="50">
        <v>16.2</v>
      </c>
      <c r="O33" s="104" t="s">
        <v>1761</v>
      </c>
      <c r="P33" s="50" t="s">
        <v>1780</v>
      </c>
      <c r="Q33" s="105">
        <v>13926</v>
      </c>
    </row>
    <row r="34" spans="1:17" ht="15" customHeight="1" x14ac:dyDescent="0.25">
      <c r="A34" s="49" t="s">
        <v>1837</v>
      </c>
      <c r="B34" s="50" t="s">
        <v>1786</v>
      </c>
      <c r="C34" s="50" t="s">
        <v>131</v>
      </c>
      <c r="D34" s="50" t="s">
        <v>119</v>
      </c>
      <c r="E34" s="50">
        <v>360</v>
      </c>
      <c r="F34" s="50" t="s">
        <v>904</v>
      </c>
      <c r="G34" s="50" t="s">
        <v>1489</v>
      </c>
      <c r="H34" s="50">
        <v>6.2</v>
      </c>
      <c r="I34" s="50">
        <v>5.6</v>
      </c>
      <c r="J34" s="50">
        <v>0</v>
      </c>
      <c r="K34" s="50" t="s">
        <v>1807</v>
      </c>
      <c r="L34" s="50" t="s">
        <v>49</v>
      </c>
      <c r="M34" s="50" t="s">
        <v>731</v>
      </c>
      <c r="N34" s="50">
        <v>17.399999999999999</v>
      </c>
      <c r="O34" s="104" t="s">
        <v>1761</v>
      </c>
      <c r="P34" s="50" t="s">
        <v>1780</v>
      </c>
      <c r="Q34" s="105">
        <v>64515</v>
      </c>
    </row>
    <row r="35" spans="1:17" ht="15" customHeight="1" x14ac:dyDescent="0.25">
      <c r="A35" s="49" t="s">
        <v>1838</v>
      </c>
      <c r="B35" s="50" t="s">
        <v>1819</v>
      </c>
      <c r="C35" s="50" t="s">
        <v>103</v>
      </c>
      <c r="D35" s="50" t="s">
        <v>51</v>
      </c>
      <c r="E35" s="50">
        <v>350</v>
      </c>
      <c r="F35" s="50" t="s">
        <v>1839</v>
      </c>
      <c r="G35" s="50" t="s">
        <v>1840</v>
      </c>
      <c r="H35" s="50">
        <v>6.2</v>
      </c>
      <c r="I35" s="50">
        <v>7.6</v>
      </c>
      <c r="J35" s="50">
        <v>1.4</v>
      </c>
      <c r="K35" s="50" t="s">
        <v>1841</v>
      </c>
      <c r="L35" s="50" t="s">
        <v>158</v>
      </c>
      <c r="M35" s="50" t="s">
        <v>1755</v>
      </c>
      <c r="N35" s="50">
        <v>4</v>
      </c>
      <c r="O35" s="104" t="s">
        <v>1761</v>
      </c>
      <c r="P35" s="50" t="s">
        <v>1808</v>
      </c>
      <c r="Q35" s="105">
        <v>71102</v>
      </c>
    </row>
    <row r="36" spans="1:17" ht="15" customHeight="1" x14ac:dyDescent="0.25">
      <c r="A36" s="49" t="s">
        <v>1842</v>
      </c>
      <c r="B36" s="50" t="s">
        <v>1805</v>
      </c>
      <c r="C36" s="50" t="s">
        <v>51</v>
      </c>
      <c r="D36" s="50" t="s">
        <v>131</v>
      </c>
      <c r="E36" s="50">
        <v>44</v>
      </c>
      <c r="F36" s="50" t="s">
        <v>1843</v>
      </c>
      <c r="G36" s="50" t="s">
        <v>1844</v>
      </c>
      <c r="H36" s="50">
        <v>0.6</v>
      </c>
      <c r="I36" s="50">
        <v>0.6</v>
      </c>
      <c r="J36" s="50">
        <v>0</v>
      </c>
      <c r="K36" s="50" t="s">
        <v>1779</v>
      </c>
      <c r="L36" s="50" t="s">
        <v>254</v>
      </c>
      <c r="M36" s="50" t="s">
        <v>731</v>
      </c>
      <c r="N36" s="50">
        <v>29.7</v>
      </c>
      <c r="O36" s="104" t="s">
        <v>1761</v>
      </c>
      <c r="P36" s="50" t="s">
        <v>1780</v>
      </c>
      <c r="Q36" s="105">
        <v>7267</v>
      </c>
    </row>
    <row r="37" spans="1:17" ht="15" customHeight="1" x14ac:dyDescent="0.25">
      <c r="A37" s="49" t="s">
        <v>1845</v>
      </c>
      <c r="B37" s="50" t="s">
        <v>1772</v>
      </c>
      <c r="C37" s="50" t="s">
        <v>51</v>
      </c>
      <c r="D37" s="50" t="s">
        <v>91</v>
      </c>
      <c r="E37" s="50">
        <v>64</v>
      </c>
      <c r="F37" s="50" t="s">
        <v>1113</v>
      </c>
      <c r="G37" s="50" t="s">
        <v>732</v>
      </c>
      <c r="H37" s="50">
        <v>0.8</v>
      </c>
      <c r="I37" s="50">
        <v>1</v>
      </c>
      <c r="J37" s="50">
        <v>0.2</v>
      </c>
      <c r="K37" s="50" t="s">
        <v>1794</v>
      </c>
      <c r="L37" s="50" t="s">
        <v>230</v>
      </c>
      <c r="M37" s="50" t="s">
        <v>1760</v>
      </c>
      <c r="N37" s="50">
        <v>21.8</v>
      </c>
      <c r="O37" s="104" t="s">
        <v>1761</v>
      </c>
      <c r="P37" s="50" t="s">
        <v>1808</v>
      </c>
      <c r="Q37" s="105">
        <v>12888</v>
      </c>
    </row>
    <row r="38" spans="1:17" ht="15" customHeight="1" x14ac:dyDescent="0.25">
      <c r="A38" s="49" t="s">
        <v>1846</v>
      </c>
      <c r="B38" s="50" t="s">
        <v>1782</v>
      </c>
      <c r="C38" s="50" t="s">
        <v>51</v>
      </c>
      <c r="D38" s="50" t="s">
        <v>96</v>
      </c>
      <c r="E38" s="50">
        <v>486</v>
      </c>
      <c r="F38" s="50" t="s">
        <v>1030</v>
      </c>
      <c r="G38" s="50"/>
      <c r="H38" s="50">
        <v>6.2</v>
      </c>
      <c r="I38" s="50"/>
      <c r="J38" s="50">
        <v>0</v>
      </c>
      <c r="K38" s="50" t="s">
        <v>1807</v>
      </c>
      <c r="L38" s="50" t="s">
        <v>155</v>
      </c>
      <c r="M38" s="50" t="s">
        <v>1765</v>
      </c>
      <c r="N38" s="50">
        <v>16.399999999999999</v>
      </c>
      <c r="O38" s="104" t="s">
        <v>1766</v>
      </c>
      <c r="P38" s="50"/>
      <c r="Q38" s="105">
        <v>107486</v>
      </c>
    </row>
    <row r="39" spans="1:17" ht="15" customHeight="1" x14ac:dyDescent="0.25">
      <c r="A39" s="49" t="s">
        <v>1847</v>
      </c>
      <c r="B39" s="50" t="s">
        <v>1758</v>
      </c>
      <c r="C39" s="50" t="s">
        <v>86</v>
      </c>
      <c r="D39" s="50" t="s">
        <v>51</v>
      </c>
      <c r="E39" s="50">
        <v>165</v>
      </c>
      <c r="F39" s="50" t="s">
        <v>1457</v>
      </c>
      <c r="G39" s="50" t="s">
        <v>1041</v>
      </c>
      <c r="H39" s="50">
        <v>2.2999999999999998</v>
      </c>
      <c r="I39" s="50">
        <v>2.4</v>
      </c>
      <c r="J39" s="50">
        <v>0.1</v>
      </c>
      <c r="K39" s="50" t="s">
        <v>1754</v>
      </c>
      <c r="L39" s="50" t="s">
        <v>155</v>
      </c>
      <c r="M39" s="50" t="s">
        <v>1770</v>
      </c>
      <c r="N39" s="50">
        <v>19</v>
      </c>
      <c r="O39" s="104" t="s">
        <v>1761</v>
      </c>
      <c r="P39" s="50" t="s">
        <v>1798</v>
      </c>
      <c r="Q39" s="105">
        <v>26755</v>
      </c>
    </row>
    <row r="40" spans="1:17" ht="15" customHeight="1" x14ac:dyDescent="0.25">
      <c r="A40" s="49" t="s">
        <v>1848</v>
      </c>
      <c r="B40" s="50" t="s">
        <v>1822</v>
      </c>
      <c r="C40" s="50" t="s">
        <v>96</v>
      </c>
      <c r="D40" s="50" t="s">
        <v>83</v>
      </c>
      <c r="E40" s="50">
        <v>120</v>
      </c>
      <c r="F40" s="50" t="s">
        <v>806</v>
      </c>
      <c r="G40" s="50" t="s">
        <v>1411</v>
      </c>
      <c r="H40" s="50">
        <v>2.1</v>
      </c>
      <c r="I40" s="50">
        <v>2.5</v>
      </c>
      <c r="J40" s="50">
        <v>0.4</v>
      </c>
      <c r="K40" s="50" t="s">
        <v>1841</v>
      </c>
      <c r="L40" s="50" t="s">
        <v>201</v>
      </c>
      <c r="M40" s="50" t="s">
        <v>1760</v>
      </c>
      <c r="N40" s="50">
        <v>4.9000000000000004</v>
      </c>
      <c r="O40" s="104" t="s">
        <v>1761</v>
      </c>
      <c r="P40" s="50" t="s">
        <v>1798</v>
      </c>
      <c r="Q40" s="105">
        <v>27123</v>
      </c>
    </row>
    <row r="41" spans="1:17" ht="15" customHeight="1" x14ac:dyDescent="0.25">
      <c r="A41" s="49" t="s">
        <v>1849</v>
      </c>
      <c r="B41" s="50" t="s">
        <v>1792</v>
      </c>
      <c r="C41" s="50" t="s">
        <v>51</v>
      </c>
      <c r="D41" s="50" t="s">
        <v>86</v>
      </c>
      <c r="E41" s="50">
        <v>165</v>
      </c>
      <c r="F41" s="50" t="s">
        <v>1430</v>
      </c>
      <c r="G41" s="50" t="s">
        <v>1143</v>
      </c>
      <c r="H41" s="50">
        <v>2.1</v>
      </c>
      <c r="I41" s="50">
        <v>2.1</v>
      </c>
      <c r="J41" s="50">
        <v>0</v>
      </c>
      <c r="K41" s="50" t="s">
        <v>1807</v>
      </c>
      <c r="L41" s="50" t="s">
        <v>255</v>
      </c>
      <c r="M41" s="50" t="s">
        <v>1760</v>
      </c>
      <c r="N41" s="50">
        <v>1.1000000000000001</v>
      </c>
      <c r="O41" s="104" t="s">
        <v>1761</v>
      </c>
      <c r="P41" s="50" t="s">
        <v>1780</v>
      </c>
      <c r="Q41" s="105">
        <v>34544</v>
      </c>
    </row>
    <row r="42" spans="1:17" ht="15" customHeight="1" x14ac:dyDescent="0.25">
      <c r="A42" s="49" t="s">
        <v>1850</v>
      </c>
      <c r="B42" s="50" t="s">
        <v>1822</v>
      </c>
      <c r="C42" s="50" t="s">
        <v>96</v>
      </c>
      <c r="D42" s="50" t="s">
        <v>83</v>
      </c>
      <c r="E42" s="50">
        <v>120</v>
      </c>
      <c r="F42" s="50" t="s">
        <v>1491</v>
      </c>
      <c r="G42" s="50" t="s">
        <v>1491</v>
      </c>
      <c r="H42" s="50">
        <v>1.9</v>
      </c>
      <c r="I42" s="50">
        <v>2.5</v>
      </c>
      <c r="J42" s="50">
        <v>0.6</v>
      </c>
      <c r="K42" s="50" t="s">
        <v>1803</v>
      </c>
      <c r="L42" s="50" t="s">
        <v>255</v>
      </c>
      <c r="M42" s="50" t="s">
        <v>1790</v>
      </c>
      <c r="N42" s="50">
        <v>3.5</v>
      </c>
      <c r="O42" s="104" t="s">
        <v>1761</v>
      </c>
      <c r="P42" s="50" t="s">
        <v>1775</v>
      </c>
      <c r="Q42" s="105">
        <v>15956</v>
      </c>
    </row>
    <row r="43" spans="1:17" ht="15" customHeight="1" x14ac:dyDescent="0.25">
      <c r="A43" s="49" t="s">
        <v>1851</v>
      </c>
      <c r="B43" s="50" t="s">
        <v>1786</v>
      </c>
      <c r="C43" s="50" t="s">
        <v>131</v>
      </c>
      <c r="D43" s="50" t="s">
        <v>119</v>
      </c>
      <c r="E43" s="50">
        <v>360</v>
      </c>
      <c r="F43" s="50" t="s">
        <v>962</v>
      </c>
      <c r="G43" s="50"/>
      <c r="H43" s="50">
        <v>7.1</v>
      </c>
      <c r="I43" s="50"/>
      <c r="J43" s="50">
        <v>0</v>
      </c>
      <c r="K43" s="50" t="s">
        <v>1817</v>
      </c>
      <c r="L43" s="50" t="s">
        <v>254</v>
      </c>
      <c r="M43" s="50" t="s">
        <v>1765</v>
      </c>
      <c r="N43" s="50">
        <v>4.4000000000000004</v>
      </c>
      <c r="O43" s="50" t="s">
        <v>1756</v>
      </c>
      <c r="P43" s="50"/>
      <c r="Q43" s="105">
        <v>55726</v>
      </c>
    </row>
    <row r="44" spans="1:17" ht="15" customHeight="1" x14ac:dyDescent="0.25">
      <c r="A44" s="49" t="s">
        <v>1852</v>
      </c>
      <c r="B44" s="50" t="s">
        <v>1753</v>
      </c>
      <c r="C44" s="50" t="s">
        <v>96</v>
      </c>
      <c r="D44" s="50" t="s">
        <v>51</v>
      </c>
      <c r="E44" s="50">
        <v>486</v>
      </c>
      <c r="F44" s="50" t="s">
        <v>1221</v>
      </c>
      <c r="G44" s="50" t="s">
        <v>1572</v>
      </c>
      <c r="H44" s="50">
        <v>9.1</v>
      </c>
      <c r="I44" s="50">
        <v>10.8</v>
      </c>
      <c r="J44" s="50">
        <v>1.7</v>
      </c>
      <c r="K44" s="50" t="s">
        <v>1841</v>
      </c>
      <c r="L44" s="50" t="s">
        <v>176</v>
      </c>
      <c r="M44" s="50" t="s">
        <v>1770</v>
      </c>
      <c r="N44" s="50">
        <v>21.4</v>
      </c>
      <c r="O44" s="104" t="s">
        <v>1761</v>
      </c>
      <c r="P44" s="50" t="s">
        <v>1820</v>
      </c>
      <c r="Q44" s="105">
        <v>109841</v>
      </c>
    </row>
    <row r="45" spans="1:17" ht="15" customHeight="1" x14ac:dyDescent="0.25">
      <c r="A45" s="49" t="s">
        <v>1853</v>
      </c>
      <c r="B45" s="50" t="s">
        <v>1812</v>
      </c>
      <c r="C45" s="50" t="s">
        <v>86</v>
      </c>
      <c r="D45" s="50" t="s">
        <v>68</v>
      </c>
      <c r="E45" s="50">
        <v>135</v>
      </c>
      <c r="F45" s="50" t="s">
        <v>839</v>
      </c>
      <c r="G45" s="50" t="s">
        <v>839</v>
      </c>
      <c r="H45" s="50">
        <v>2.4</v>
      </c>
      <c r="I45" s="50">
        <v>3.3</v>
      </c>
      <c r="J45" s="50">
        <v>0.9</v>
      </c>
      <c r="K45" s="50" t="s">
        <v>1834</v>
      </c>
      <c r="L45" s="50" t="s">
        <v>267</v>
      </c>
      <c r="M45" s="50" t="s">
        <v>1760</v>
      </c>
      <c r="N45" s="50">
        <v>19</v>
      </c>
      <c r="O45" s="104" t="s">
        <v>1761</v>
      </c>
      <c r="P45" s="50" t="s">
        <v>1775</v>
      </c>
      <c r="Q45" s="105">
        <v>21408</v>
      </c>
    </row>
    <row r="46" spans="1:17" ht="15" customHeight="1" x14ac:dyDescent="0.25">
      <c r="A46" s="49" t="s">
        <v>1854</v>
      </c>
      <c r="B46" s="50" t="s">
        <v>1855</v>
      </c>
      <c r="C46" s="50" t="s">
        <v>68</v>
      </c>
      <c r="D46" s="50" t="s">
        <v>93</v>
      </c>
      <c r="E46" s="50">
        <v>67</v>
      </c>
      <c r="F46" s="50" t="s">
        <v>1039</v>
      </c>
      <c r="G46" s="50" t="s">
        <v>1670</v>
      </c>
      <c r="H46" s="50">
        <v>0.9</v>
      </c>
      <c r="I46" s="50">
        <v>1</v>
      </c>
      <c r="J46" s="50">
        <v>0.1</v>
      </c>
      <c r="K46" s="50" t="s">
        <v>1779</v>
      </c>
      <c r="L46" s="50" t="s">
        <v>148</v>
      </c>
      <c r="M46" s="50" t="s">
        <v>1790</v>
      </c>
      <c r="N46" s="50">
        <v>11.9</v>
      </c>
      <c r="O46" s="104" t="s">
        <v>1761</v>
      </c>
      <c r="P46" s="50" t="s">
        <v>1820</v>
      </c>
      <c r="Q46" s="105">
        <v>14022</v>
      </c>
    </row>
    <row r="47" spans="1:17" ht="15" customHeight="1" x14ac:dyDescent="0.25">
      <c r="A47" s="49" t="s">
        <v>1856</v>
      </c>
      <c r="B47" s="50" t="s">
        <v>1819</v>
      </c>
      <c r="C47" s="50" t="s">
        <v>103</v>
      </c>
      <c r="D47" s="50" t="s">
        <v>51</v>
      </c>
      <c r="E47" s="50">
        <v>350</v>
      </c>
      <c r="F47" s="50" t="s">
        <v>1135</v>
      </c>
      <c r="G47" s="50" t="s">
        <v>1135</v>
      </c>
      <c r="H47" s="50">
        <v>4.4000000000000004</v>
      </c>
      <c r="I47" s="50">
        <v>4.3</v>
      </c>
      <c r="J47" s="50">
        <v>0</v>
      </c>
      <c r="K47" s="50" t="s">
        <v>1759</v>
      </c>
      <c r="L47" s="50" t="s">
        <v>114</v>
      </c>
      <c r="M47" s="50" t="s">
        <v>1760</v>
      </c>
      <c r="N47" s="50">
        <v>11</v>
      </c>
      <c r="O47" s="104" t="s">
        <v>1761</v>
      </c>
      <c r="P47" s="50" t="s">
        <v>1780</v>
      </c>
      <c r="Q47" s="105">
        <v>82749</v>
      </c>
    </row>
    <row r="48" spans="1:17" ht="15" customHeight="1" x14ac:dyDescent="0.25">
      <c r="A48" s="49" t="s">
        <v>1857</v>
      </c>
      <c r="B48" s="50" t="s">
        <v>1772</v>
      </c>
      <c r="C48" s="50" t="s">
        <v>51</v>
      </c>
      <c r="D48" s="50" t="s">
        <v>91</v>
      </c>
      <c r="E48" s="50">
        <v>64</v>
      </c>
      <c r="F48" s="50" t="s">
        <v>980</v>
      </c>
      <c r="G48" s="50"/>
      <c r="H48" s="50">
        <v>1</v>
      </c>
      <c r="I48" s="50"/>
      <c r="J48" s="50">
        <v>0</v>
      </c>
      <c r="K48" s="50" t="s">
        <v>1783</v>
      </c>
      <c r="L48" s="50" t="s">
        <v>136</v>
      </c>
      <c r="M48" s="50" t="s">
        <v>1784</v>
      </c>
      <c r="N48" s="50">
        <v>13</v>
      </c>
      <c r="O48" s="104" t="s">
        <v>700</v>
      </c>
      <c r="P48" s="50"/>
      <c r="Q48" s="105">
        <v>13397</v>
      </c>
    </row>
    <row r="49" spans="1:17" ht="15" customHeight="1" x14ac:dyDescent="0.25">
      <c r="A49" s="49" t="s">
        <v>1858</v>
      </c>
      <c r="B49" s="50" t="s">
        <v>1772</v>
      </c>
      <c r="C49" s="50" t="s">
        <v>51</v>
      </c>
      <c r="D49" s="50" t="s">
        <v>91</v>
      </c>
      <c r="E49" s="50">
        <v>64</v>
      </c>
      <c r="F49" s="50" t="s">
        <v>732</v>
      </c>
      <c r="G49" s="50"/>
      <c r="H49" s="50">
        <v>1.1000000000000001</v>
      </c>
      <c r="I49" s="50"/>
      <c r="J49" s="50">
        <v>0</v>
      </c>
      <c r="K49" s="50" t="s">
        <v>1803</v>
      </c>
      <c r="L49" s="50" t="s">
        <v>259</v>
      </c>
      <c r="M49" s="50" t="s">
        <v>1760</v>
      </c>
      <c r="N49" s="50">
        <v>28</v>
      </c>
      <c r="O49" s="50" t="s">
        <v>1756</v>
      </c>
      <c r="P49" s="50"/>
      <c r="Q49" s="105">
        <v>13598</v>
      </c>
    </row>
    <row r="50" spans="1:17" ht="15" customHeight="1" x14ac:dyDescent="0.25">
      <c r="A50" s="49" t="s">
        <v>1859</v>
      </c>
      <c r="B50" s="50" t="s">
        <v>1768</v>
      </c>
      <c r="C50" s="50" t="s">
        <v>51</v>
      </c>
      <c r="D50" s="50" t="s">
        <v>103</v>
      </c>
      <c r="E50" s="50">
        <v>350</v>
      </c>
      <c r="F50" s="50" t="s">
        <v>1631</v>
      </c>
      <c r="G50" s="50"/>
      <c r="H50" s="50">
        <v>5</v>
      </c>
      <c r="I50" s="50"/>
      <c r="J50" s="50">
        <v>0</v>
      </c>
      <c r="K50" s="50" t="s">
        <v>1797</v>
      </c>
      <c r="L50" s="50" t="s">
        <v>126</v>
      </c>
      <c r="M50" s="50" t="s">
        <v>1790</v>
      </c>
      <c r="N50" s="50">
        <v>13.7</v>
      </c>
      <c r="O50" s="50" t="s">
        <v>1756</v>
      </c>
      <c r="P50" s="50"/>
      <c r="Q50" s="105">
        <v>86423</v>
      </c>
    </row>
    <row r="51" spans="1:17" ht="15" customHeight="1" x14ac:dyDescent="0.25">
      <c r="A51" s="49" t="s">
        <v>1860</v>
      </c>
      <c r="B51" s="50" t="s">
        <v>1777</v>
      </c>
      <c r="C51" s="50" t="s">
        <v>68</v>
      </c>
      <c r="D51" s="50" t="s">
        <v>86</v>
      </c>
      <c r="E51" s="50">
        <v>135</v>
      </c>
      <c r="F51" s="50" t="s">
        <v>1861</v>
      </c>
      <c r="G51" s="50"/>
      <c r="H51" s="50">
        <v>2.1</v>
      </c>
      <c r="I51" s="50"/>
      <c r="J51" s="50">
        <v>0</v>
      </c>
      <c r="K51" s="50" t="s">
        <v>1841</v>
      </c>
      <c r="L51" s="50" t="s">
        <v>161</v>
      </c>
      <c r="M51" s="50" t="s">
        <v>731</v>
      </c>
      <c r="N51" s="50">
        <v>3.2</v>
      </c>
      <c r="O51" s="104" t="s">
        <v>1766</v>
      </c>
      <c r="P51" s="50"/>
      <c r="Q51" s="105">
        <v>19392</v>
      </c>
    </row>
    <row r="52" spans="1:17" ht="15" customHeight="1" x14ac:dyDescent="0.25">
      <c r="A52" s="49" t="s">
        <v>1862</v>
      </c>
      <c r="B52" s="50" t="s">
        <v>1786</v>
      </c>
      <c r="C52" s="50" t="s">
        <v>131</v>
      </c>
      <c r="D52" s="50" t="s">
        <v>119</v>
      </c>
      <c r="E52" s="50">
        <v>360</v>
      </c>
      <c r="F52" s="50" t="s">
        <v>1863</v>
      </c>
      <c r="G52" s="50" t="s">
        <v>764</v>
      </c>
      <c r="H52" s="50">
        <v>5.7</v>
      </c>
      <c r="I52" s="50">
        <v>7.9</v>
      </c>
      <c r="J52" s="50">
        <v>2.2000000000000002</v>
      </c>
      <c r="K52" s="50" t="s">
        <v>1841</v>
      </c>
      <c r="L52" s="50" t="s">
        <v>195</v>
      </c>
      <c r="M52" s="50" t="s">
        <v>1755</v>
      </c>
      <c r="N52" s="50">
        <v>23.9</v>
      </c>
      <c r="O52" s="104" t="s">
        <v>1761</v>
      </c>
      <c r="P52" s="50" t="s">
        <v>1798</v>
      </c>
      <c r="Q52" s="105">
        <v>61133</v>
      </c>
    </row>
    <row r="53" spans="1:17" ht="15" customHeight="1" x14ac:dyDescent="0.25">
      <c r="A53" s="49" t="s">
        <v>1864</v>
      </c>
      <c r="B53" s="50" t="s">
        <v>1855</v>
      </c>
      <c r="C53" s="50" t="s">
        <v>68</v>
      </c>
      <c r="D53" s="50" t="s">
        <v>93</v>
      </c>
      <c r="E53" s="50">
        <v>67</v>
      </c>
      <c r="F53" s="50" t="s">
        <v>1566</v>
      </c>
      <c r="G53" s="50" t="s">
        <v>1865</v>
      </c>
      <c r="H53" s="50">
        <v>1</v>
      </c>
      <c r="I53" s="50">
        <v>1.2</v>
      </c>
      <c r="J53" s="50">
        <v>0.2</v>
      </c>
      <c r="K53" s="50" t="s">
        <v>1834</v>
      </c>
      <c r="L53" s="50" t="s">
        <v>148</v>
      </c>
      <c r="M53" s="50" t="s">
        <v>1790</v>
      </c>
      <c r="N53" s="50">
        <v>3</v>
      </c>
      <c r="O53" s="104" t="s">
        <v>1761</v>
      </c>
      <c r="P53" s="50" t="s">
        <v>1798</v>
      </c>
      <c r="Q53" s="105">
        <v>14164</v>
      </c>
    </row>
    <row r="54" spans="1:17" ht="15" customHeight="1" x14ac:dyDescent="0.25">
      <c r="A54" s="49" t="s">
        <v>1866</v>
      </c>
      <c r="B54" s="50" t="s">
        <v>1822</v>
      </c>
      <c r="C54" s="50" t="s">
        <v>96</v>
      </c>
      <c r="D54" s="50" t="s">
        <v>83</v>
      </c>
      <c r="E54" s="50">
        <v>120</v>
      </c>
      <c r="F54" s="50" t="s">
        <v>1717</v>
      </c>
      <c r="G54" s="50" t="s">
        <v>1827</v>
      </c>
      <c r="H54" s="50">
        <v>1.5</v>
      </c>
      <c r="I54" s="50">
        <v>1.4</v>
      </c>
      <c r="J54" s="50">
        <v>0</v>
      </c>
      <c r="K54" s="50" t="s">
        <v>1779</v>
      </c>
      <c r="L54" s="50" t="s">
        <v>182</v>
      </c>
      <c r="M54" s="50" t="s">
        <v>1755</v>
      </c>
      <c r="N54" s="50">
        <v>14.5</v>
      </c>
      <c r="O54" s="104" t="s">
        <v>1761</v>
      </c>
      <c r="P54" s="50" t="s">
        <v>1780</v>
      </c>
      <c r="Q54" s="105">
        <v>20029</v>
      </c>
    </row>
    <row r="55" spans="1:17" ht="15" customHeight="1" x14ac:dyDescent="0.25">
      <c r="A55" s="49" t="s">
        <v>1867</v>
      </c>
      <c r="B55" s="50" t="s">
        <v>1777</v>
      </c>
      <c r="C55" s="50" t="s">
        <v>68</v>
      </c>
      <c r="D55" s="50" t="s">
        <v>86</v>
      </c>
      <c r="E55" s="50">
        <v>135</v>
      </c>
      <c r="F55" s="50" t="s">
        <v>950</v>
      </c>
      <c r="G55" s="50"/>
      <c r="H55" s="50">
        <v>2.5</v>
      </c>
      <c r="I55" s="50"/>
      <c r="J55" s="50">
        <v>0</v>
      </c>
      <c r="K55" s="50" t="s">
        <v>1817</v>
      </c>
      <c r="L55" s="50" t="s">
        <v>231</v>
      </c>
      <c r="M55" s="50" t="s">
        <v>1790</v>
      </c>
      <c r="N55" s="50">
        <v>7.7</v>
      </c>
      <c r="O55" s="50" t="s">
        <v>1756</v>
      </c>
      <c r="P55" s="50"/>
      <c r="Q55" s="105">
        <v>17180</v>
      </c>
    </row>
    <row r="56" spans="1:17" ht="15" customHeight="1" x14ac:dyDescent="0.25">
      <c r="A56" s="49" t="s">
        <v>1868</v>
      </c>
      <c r="B56" s="50" t="s">
        <v>1792</v>
      </c>
      <c r="C56" s="50" t="s">
        <v>51</v>
      </c>
      <c r="D56" s="50" t="s">
        <v>86</v>
      </c>
      <c r="E56" s="50">
        <v>165</v>
      </c>
      <c r="F56" s="50" t="s">
        <v>1869</v>
      </c>
      <c r="G56" s="50" t="s">
        <v>1041</v>
      </c>
      <c r="H56" s="50">
        <v>3</v>
      </c>
      <c r="I56" s="50">
        <v>4</v>
      </c>
      <c r="J56" s="50">
        <v>1</v>
      </c>
      <c r="K56" s="50" t="s">
        <v>1841</v>
      </c>
      <c r="L56" s="50" t="s">
        <v>78</v>
      </c>
      <c r="M56" s="50" t="s">
        <v>1784</v>
      </c>
      <c r="N56" s="50">
        <v>29</v>
      </c>
      <c r="O56" s="104" t="s">
        <v>1761</v>
      </c>
      <c r="P56" s="50" t="s">
        <v>1775</v>
      </c>
      <c r="Q56" s="105">
        <v>21382</v>
      </c>
    </row>
    <row r="57" spans="1:17" ht="15" customHeight="1" x14ac:dyDescent="0.25">
      <c r="A57" s="49" t="s">
        <v>1870</v>
      </c>
      <c r="B57" s="50" t="s">
        <v>1777</v>
      </c>
      <c r="C57" s="50" t="s">
        <v>68</v>
      </c>
      <c r="D57" s="50" t="s">
        <v>86</v>
      </c>
      <c r="E57" s="50">
        <v>135</v>
      </c>
      <c r="F57" s="50" t="s">
        <v>1178</v>
      </c>
      <c r="G57" s="50"/>
      <c r="H57" s="50">
        <v>2.2000000000000002</v>
      </c>
      <c r="I57" s="50"/>
      <c r="J57" s="50">
        <v>0</v>
      </c>
      <c r="K57" s="50" t="s">
        <v>1823</v>
      </c>
      <c r="L57" s="50" t="s">
        <v>152</v>
      </c>
      <c r="M57" s="50" t="s">
        <v>1765</v>
      </c>
      <c r="N57" s="50">
        <v>0.9</v>
      </c>
      <c r="O57" s="50" t="s">
        <v>1756</v>
      </c>
      <c r="P57" s="50"/>
      <c r="Q57" s="105">
        <v>23509</v>
      </c>
    </row>
    <row r="58" spans="1:17" ht="15" customHeight="1" x14ac:dyDescent="0.25">
      <c r="A58" s="49" t="s">
        <v>1871</v>
      </c>
      <c r="B58" s="50" t="s">
        <v>1758</v>
      </c>
      <c r="C58" s="50" t="s">
        <v>86</v>
      </c>
      <c r="D58" s="50" t="s">
        <v>51</v>
      </c>
      <c r="E58" s="50">
        <v>165</v>
      </c>
      <c r="F58" s="50" t="s">
        <v>1363</v>
      </c>
      <c r="G58" s="50" t="s">
        <v>1288</v>
      </c>
      <c r="H58" s="50">
        <v>3</v>
      </c>
      <c r="I58" s="50">
        <v>3.5</v>
      </c>
      <c r="J58" s="50">
        <v>0.5</v>
      </c>
      <c r="K58" s="50" t="s">
        <v>1834</v>
      </c>
      <c r="L58" s="50" t="s">
        <v>268</v>
      </c>
      <c r="M58" s="50" t="s">
        <v>1760</v>
      </c>
      <c r="N58" s="50">
        <v>14.4</v>
      </c>
      <c r="O58" s="104" t="s">
        <v>1761</v>
      </c>
      <c r="P58" s="50" t="s">
        <v>1808</v>
      </c>
      <c r="Q58" s="105">
        <v>25951</v>
      </c>
    </row>
    <row r="59" spans="1:17" ht="15" customHeight="1" x14ac:dyDescent="0.25">
      <c r="A59" s="49" t="s">
        <v>1872</v>
      </c>
      <c r="B59" s="50" t="s">
        <v>1792</v>
      </c>
      <c r="C59" s="50" t="s">
        <v>51</v>
      </c>
      <c r="D59" s="50" t="s">
        <v>86</v>
      </c>
      <c r="E59" s="50">
        <v>165</v>
      </c>
      <c r="F59" s="50" t="s">
        <v>1873</v>
      </c>
      <c r="G59" s="50"/>
      <c r="H59" s="50">
        <v>2.4</v>
      </c>
      <c r="I59" s="50"/>
      <c r="J59" s="50">
        <v>0</v>
      </c>
      <c r="K59" s="50" t="s">
        <v>1807</v>
      </c>
      <c r="L59" s="50" t="s">
        <v>218</v>
      </c>
      <c r="M59" s="50" t="s">
        <v>731</v>
      </c>
      <c r="N59" s="50">
        <v>0.8</v>
      </c>
      <c r="O59" s="50" t="s">
        <v>1756</v>
      </c>
      <c r="P59" s="50"/>
      <c r="Q59" s="105">
        <v>34384</v>
      </c>
    </row>
    <row r="60" spans="1:17" ht="15" customHeight="1" x14ac:dyDescent="0.25">
      <c r="A60" s="49" t="s">
        <v>1874</v>
      </c>
      <c r="B60" s="50" t="s">
        <v>1805</v>
      </c>
      <c r="C60" s="50" t="s">
        <v>51</v>
      </c>
      <c r="D60" s="50" t="s">
        <v>131</v>
      </c>
      <c r="E60" s="50">
        <v>44</v>
      </c>
      <c r="F60" s="50" t="s">
        <v>1721</v>
      </c>
      <c r="G60" s="50" t="s">
        <v>850</v>
      </c>
      <c r="H60" s="50">
        <v>0.6</v>
      </c>
      <c r="I60" s="50">
        <v>0.9</v>
      </c>
      <c r="J60" s="50">
        <v>0.3</v>
      </c>
      <c r="K60" s="50" t="s">
        <v>1794</v>
      </c>
      <c r="L60" s="50" t="s">
        <v>236</v>
      </c>
      <c r="M60" s="50" t="s">
        <v>1755</v>
      </c>
      <c r="N60" s="50">
        <v>9.5</v>
      </c>
      <c r="O60" s="104" t="s">
        <v>1761</v>
      </c>
      <c r="P60" s="50" t="s">
        <v>1808</v>
      </c>
      <c r="Q60" s="105">
        <v>8263</v>
      </c>
    </row>
    <row r="61" spans="1:17" ht="15" customHeight="1" x14ac:dyDescent="0.25">
      <c r="A61" s="49" t="s">
        <v>1875</v>
      </c>
      <c r="B61" s="50" t="s">
        <v>1792</v>
      </c>
      <c r="C61" s="50" t="s">
        <v>51</v>
      </c>
      <c r="D61" s="50" t="s">
        <v>86</v>
      </c>
      <c r="E61" s="50">
        <v>165</v>
      </c>
      <c r="F61" s="50" t="s">
        <v>1645</v>
      </c>
      <c r="G61" s="50" t="s">
        <v>1876</v>
      </c>
      <c r="H61" s="50">
        <v>3.2</v>
      </c>
      <c r="I61" s="50">
        <v>4.5</v>
      </c>
      <c r="J61" s="50">
        <v>1.3</v>
      </c>
      <c r="K61" s="50" t="s">
        <v>1836</v>
      </c>
      <c r="L61" s="50" t="s">
        <v>137</v>
      </c>
      <c r="M61" s="50" t="s">
        <v>1770</v>
      </c>
      <c r="N61" s="50">
        <v>22.5</v>
      </c>
      <c r="O61" s="104" t="s">
        <v>1761</v>
      </c>
      <c r="P61" s="50" t="s">
        <v>1820</v>
      </c>
      <c r="Q61" s="105">
        <v>30041</v>
      </c>
    </row>
    <row r="62" spans="1:17" ht="15" customHeight="1" x14ac:dyDescent="0.25">
      <c r="A62" s="49" t="s">
        <v>1877</v>
      </c>
      <c r="B62" s="50" t="s">
        <v>1753</v>
      </c>
      <c r="C62" s="50" t="s">
        <v>96</v>
      </c>
      <c r="D62" s="50" t="s">
        <v>51</v>
      </c>
      <c r="E62" s="50">
        <v>486</v>
      </c>
      <c r="F62" s="50" t="s">
        <v>1878</v>
      </c>
      <c r="G62" s="50" t="s">
        <v>1219</v>
      </c>
      <c r="H62" s="50">
        <v>9.4</v>
      </c>
      <c r="I62" s="50">
        <v>8.9</v>
      </c>
      <c r="J62" s="50">
        <v>0</v>
      </c>
      <c r="K62" s="50" t="s">
        <v>1797</v>
      </c>
      <c r="L62" s="50" t="s">
        <v>255</v>
      </c>
      <c r="M62" s="50" t="s">
        <v>1790</v>
      </c>
      <c r="N62" s="50">
        <v>6.2</v>
      </c>
      <c r="O62" s="104" t="s">
        <v>1761</v>
      </c>
      <c r="P62" s="50" t="s">
        <v>1780</v>
      </c>
      <c r="Q62" s="105">
        <v>107524</v>
      </c>
    </row>
    <row r="63" spans="1:17" ht="15" customHeight="1" x14ac:dyDescent="0.25">
      <c r="A63" s="49" t="s">
        <v>1879</v>
      </c>
      <c r="B63" s="50" t="s">
        <v>1764</v>
      </c>
      <c r="C63" s="50" t="s">
        <v>51</v>
      </c>
      <c r="D63" s="50" t="s">
        <v>62</v>
      </c>
      <c r="E63" s="50">
        <v>160</v>
      </c>
      <c r="F63" s="50" t="s">
        <v>1880</v>
      </c>
      <c r="G63" s="50"/>
      <c r="H63" s="50">
        <v>2.9</v>
      </c>
      <c r="I63" s="50"/>
      <c r="J63" s="50">
        <v>0</v>
      </c>
      <c r="K63" s="50" t="s">
        <v>1823</v>
      </c>
      <c r="L63" s="50" t="s">
        <v>101</v>
      </c>
      <c r="M63" s="50" t="s">
        <v>731</v>
      </c>
      <c r="N63" s="50">
        <v>18.100000000000001</v>
      </c>
      <c r="O63" s="50" t="s">
        <v>1756</v>
      </c>
      <c r="P63" s="50"/>
      <c r="Q63" s="105">
        <v>25630</v>
      </c>
    </row>
    <row r="64" spans="1:17" ht="15" customHeight="1" x14ac:dyDescent="0.25">
      <c r="A64" s="49" t="s">
        <v>1881</v>
      </c>
      <c r="B64" s="50" t="s">
        <v>1855</v>
      </c>
      <c r="C64" s="50" t="s">
        <v>68</v>
      </c>
      <c r="D64" s="50" t="s">
        <v>93</v>
      </c>
      <c r="E64" s="50">
        <v>67</v>
      </c>
      <c r="F64" s="50" t="s">
        <v>1873</v>
      </c>
      <c r="G64" s="50"/>
      <c r="H64" s="50">
        <v>1.2</v>
      </c>
      <c r="I64" s="50"/>
      <c r="J64" s="50">
        <v>0</v>
      </c>
      <c r="K64" s="50" t="s">
        <v>1823</v>
      </c>
      <c r="L64" s="50" t="s">
        <v>235</v>
      </c>
      <c r="M64" s="50" t="s">
        <v>1755</v>
      </c>
      <c r="N64" s="50">
        <v>1.8</v>
      </c>
      <c r="O64" s="104" t="s">
        <v>1766</v>
      </c>
      <c r="P64" s="50"/>
      <c r="Q64" s="105">
        <v>12254</v>
      </c>
    </row>
    <row r="65" spans="1:17" ht="15" customHeight="1" x14ac:dyDescent="0.25">
      <c r="A65" s="49" t="s">
        <v>1882</v>
      </c>
      <c r="B65" s="50" t="s">
        <v>1782</v>
      </c>
      <c r="C65" s="50" t="s">
        <v>51</v>
      </c>
      <c r="D65" s="50" t="s">
        <v>96</v>
      </c>
      <c r="E65" s="50">
        <v>486</v>
      </c>
      <c r="F65" s="50" t="s">
        <v>1170</v>
      </c>
      <c r="G65" s="50" t="s">
        <v>1685</v>
      </c>
      <c r="H65" s="50">
        <v>9.6999999999999993</v>
      </c>
      <c r="I65" s="50">
        <v>10.6</v>
      </c>
      <c r="J65" s="50">
        <v>0.9</v>
      </c>
      <c r="K65" s="50" t="s">
        <v>1797</v>
      </c>
      <c r="L65" s="50" t="s">
        <v>282</v>
      </c>
      <c r="M65" s="50" t="s">
        <v>1760</v>
      </c>
      <c r="N65" s="50">
        <v>28.8</v>
      </c>
      <c r="O65" s="104" t="s">
        <v>1761</v>
      </c>
      <c r="P65" s="50" t="s">
        <v>1762</v>
      </c>
      <c r="Q65" s="105">
        <v>119848</v>
      </c>
    </row>
    <row r="66" spans="1:17" ht="15" customHeight="1" x14ac:dyDescent="0.25">
      <c r="A66" s="49" t="s">
        <v>1883</v>
      </c>
      <c r="B66" s="50" t="s">
        <v>1819</v>
      </c>
      <c r="C66" s="50" t="s">
        <v>103</v>
      </c>
      <c r="D66" s="50" t="s">
        <v>51</v>
      </c>
      <c r="E66" s="50">
        <v>350</v>
      </c>
      <c r="F66" s="50" t="s">
        <v>1480</v>
      </c>
      <c r="G66" s="50" t="s">
        <v>1184</v>
      </c>
      <c r="H66" s="50">
        <v>4.5999999999999996</v>
      </c>
      <c r="I66" s="50">
        <v>5.8</v>
      </c>
      <c r="J66" s="50">
        <v>1.2</v>
      </c>
      <c r="K66" s="50" t="s">
        <v>1834</v>
      </c>
      <c r="L66" s="50" t="s">
        <v>112</v>
      </c>
      <c r="M66" s="50" t="s">
        <v>1755</v>
      </c>
      <c r="N66" s="50">
        <v>24.3</v>
      </c>
      <c r="O66" s="104" t="s">
        <v>1761</v>
      </c>
      <c r="P66" s="50" t="s">
        <v>1820</v>
      </c>
      <c r="Q66" s="105">
        <v>68679</v>
      </c>
    </row>
    <row r="67" spans="1:17" ht="15" customHeight="1" x14ac:dyDescent="0.25">
      <c r="A67" s="49" t="s">
        <v>1884</v>
      </c>
      <c r="B67" s="50" t="s">
        <v>1777</v>
      </c>
      <c r="C67" s="50" t="s">
        <v>68</v>
      </c>
      <c r="D67" s="50" t="s">
        <v>86</v>
      </c>
      <c r="E67" s="50">
        <v>135</v>
      </c>
      <c r="F67" s="50" t="s">
        <v>911</v>
      </c>
      <c r="G67" s="50" t="s">
        <v>718</v>
      </c>
      <c r="H67" s="50">
        <v>2.5</v>
      </c>
      <c r="I67" s="50">
        <v>3.6</v>
      </c>
      <c r="J67" s="50">
        <v>1.1000000000000001</v>
      </c>
      <c r="K67" s="50" t="s">
        <v>1803</v>
      </c>
      <c r="L67" s="50" t="s">
        <v>106</v>
      </c>
      <c r="M67" s="50" t="s">
        <v>1784</v>
      </c>
      <c r="N67" s="50">
        <v>3.3</v>
      </c>
      <c r="O67" s="104" t="s">
        <v>1761</v>
      </c>
      <c r="P67" s="50" t="s">
        <v>1798</v>
      </c>
      <c r="Q67" s="105">
        <v>29693</v>
      </c>
    </row>
    <row r="68" spans="1:17" ht="15" customHeight="1" x14ac:dyDescent="0.25">
      <c r="A68" s="49" t="s">
        <v>1885</v>
      </c>
      <c r="B68" s="50" t="s">
        <v>1792</v>
      </c>
      <c r="C68" s="50" t="s">
        <v>51</v>
      </c>
      <c r="D68" s="50" t="s">
        <v>86</v>
      </c>
      <c r="E68" s="50">
        <v>165</v>
      </c>
      <c r="F68" s="50" t="s">
        <v>1886</v>
      </c>
      <c r="G68" s="50" t="s">
        <v>1611</v>
      </c>
      <c r="H68" s="50">
        <v>3.1</v>
      </c>
      <c r="I68" s="50">
        <v>4.4000000000000004</v>
      </c>
      <c r="J68" s="50">
        <v>1.3</v>
      </c>
      <c r="K68" s="50" t="s">
        <v>1769</v>
      </c>
      <c r="L68" s="50" t="s">
        <v>182</v>
      </c>
      <c r="M68" s="50" t="s">
        <v>1755</v>
      </c>
      <c r="N68" s="50">
        <v>25.8</v>
      </c>
      <c r="O68" s="104" t="s">
        <v>1761</v>
      </c>
      <c r="P68" s="50" t="s">
        <v>1820</v>
      </c>
      <c r="Q68" s="105">
        <v>24929</v>
      </c>
    </row>
    <row r="69" spans="1:17" ht="15" customHeight="1" x14ac:dyDescent="0.25">
      <c r="A69" s="49" t="s">
        <v>1887</v>
      </c>
      <c r="B69" s="50" t="s">
        <v>1772</v>
      </c>
      <c r="C69" s="50" t="s">
        <v>51</v>
      </c>
      <c r="D69" s="50" t="s">
        <v>91</v>
      </c>
      <c r="E69" s="50">
        <v>64</v>
      </c>
      <c r="F69" s="50" t="s">
        <v>1307</v>
      </c>
      <c r="G69" s="50"/>
      <c r="H69" s="50">
        <v>0.9</v>
      </c>
      <c r="I69" s="50"/>
      <c r="J69" s="50">
        <v>0</v>
      </c>
      <c r="K69" s="50" t="s">
        <v>1803</v>
      </c>
      <c r="L69" s="50" t="s">
        <v>111</v>
      </c>
      <c r="M69" s="50" t="s">
        <v>1770</v>
      </c>
      <c r="N69" s="50">
        <v>0.9</v>
      </c>
      <c r="O69" s="50" t="s">
        <v>1756</v>
      </c>
      <c r="P69" s="50"/>
      <c r="Q69" s="105">
        <v>10255</v>
      </c>
    </row>
    <row r="70" spans="1:17" ht="15" customHeight="1" x14ac:dyDescent="0.25">
      <c r="A70" s="49" t="s">
        <v>1888</v>
      </c>
      <c r="B70" s="50" t="s">
        <v>1777</v>
      </c>
      <c r="C70" s="50" t="s">
        <v>68</v>
      </c>
      <c r="D70" s="50" t="s">
        <v>86</v>
      </c>
      <c r="E70" s="50">
        <v>135</v>
      </c>
      <c r="F70" s="50" t="s">
        <v>1362</v>
      </c>
      <c r="G70" s="50" t="s">
        <v>1362</v>
      </c>
      <c r="H70" s="50">
        <v>2.1</v>
      </c>
      <c r="I70" s="50">
        <v>2.2999999999999998</v>
      </c>
      <c r="J70" s="50">
        <v>0.2</v>
      </c>
      <c r="K70" s="50" t="s">
        <v>1807</v>
      </c>
      <c r="L70" s="50" t="s">
        <v>165</v>
      </c>
      <c r="M70" s="50" t="s">
        <v>731</v>
      </c>
      <c r="N70" s="50">
        <v>2.5</v>
      </c>
      <c r="O70" s="104" t="s">
        <v>1761</v>
      </c>
      <c r="P70" s="50" t="s">
        <v>1798</v>
      </c>
      <c r="Q70" s="105">
        <v>28672</v>
      </c>
    </row>
    <row r="71" spans="1:17" ht="15" customHeight="1" x14ac:dyDescent="0.25">
      <c r="A71" s="49" t="s">
        <v>1889</v>
      </c>
      <c r="B71" s="50" t="s">
        <v>1825</v>
      </c>
      <c r="C71" s="50" t="s">
        <v>103</v>
      </c>
      <c r="D71" s="50" t="s">
        <v>72</v>
      </c>
      <c r="E71" s="50">
        <v>64</v>
      </c>
      <c r="F71" s="50" t="s">
        <v>1890</v>
      </c>
      <c r="G71" s="50"/>
      <c r="H71" s="50">
        <v>0.9</v>
      </c>
      <c r="I71" s="50"/>
      <c r="J71" s="50">
        <v>0</v>
      </c>
      <c r="K71" s="50" t="s">
        <v>1803</v>
      </c>
      <c r="L71" s="50" t="s">
        <v>256</v>
      </c>
      <c r="M71" s="50" t="s">
        <v>731</v>
      </c>
      <c r="N71" s="50">
        <v>28.2</v>
      </c>
      <c r="O71" s="104" t="s">
        <v>1766</v>
      </c>
      <c r="P71" s="50"/>
      <c r="Q71" s="105">
        <v>11742</v>
      </c>
    </row>
    <row r="72" spans="1:17" ht="15" customHeight="1" x14ac:dyDescent="0.25">
      <c r="A72" s="49" t="s">
        <v>1891</v>
      </c>
      <c r="B72" s="50" t="s">
        <v>1764</v>
      </c>
      <c r="C72" s="50" t="s">
        <v>51</v>
      </c>
      <c r="D72" s="50" t="s">
        <v>62</v>
      </c>
      <c r="E72" s="50">
        <v>160</v>
      </c>
      <c r="F72" s="50" t="s">
        <v>957</v>
      </c>
      <c r="G72" s="50" t="s">
        <v>907</v>
      </c>
      <c r="H72" s="50">
        <v>2.1</v>
      </c>
      <c r="I72" s="50">
        <v>2.7</v>
      </c>
      <c r="J72" s="50">
        <v>0.6</v>
      </c>
      <c r="K72" s="50" t="s">
        <v>1794</v>
      </c>
      <c r="L72" s="50" t="s">
        <v>264</v>
      </c>
      <c r="M72" s="50" t="s">
        <v>731</v>
      </c>
      <c r="N72" s="50">
        <v>13.5</v>
      </c>
      <c r="O72" s="104" t="s">
        <v>1761</v>
      </c>
      <c r="P72" s="50" t="s">
        <v>1762</v>
      </c>
      <c r="Q72" s="105">
        <v>20937</v>
      </c>
    </row>
    <row r="73" spans="1:17" ht="15" customHeight="1" x14ac:dyDescent="0.25">
      <c r="A73" s="49" t="s">
        <v>1892</v>
      </c>
      <c r="B73" s="50" t="s">
        <v>1786</v>
      </c>
      <c r="C73" s="50" t="s">
        <v>131</v>
      </c>
      <c r="D73" s="50" t="s">
        <v>119</v>
      </c>
      <c r="E73" s="50">
        <v>360</v>
      </c>
      <c r="F73" s="50" t="s">
        <v>920</v>
      </c>
      <c r="G73" s="50" t="s">
        <v>920</v>
      </c>
      <c r="H73" s="50">
        <v>7</v>
      </c>
      <c r="I73" s="50">
        <v>8.6999999999999993</v>
      </c>
      <c r="J73" s="50">
        <v>1.7</v>
      </c>
      <c r="K73" s="50" t="s">
        <v>1754</v>
      </c>
      <c r="L73" s="50" t="s">
        <v>97</v>
      </c>
      <c r="M73" s="50" t="s">
        <v>1784</v>
      </c>
      <c r="N73" s="50">
        <v>23.8</v>
      </c>
      <c r="O73" s="104" t="s">
        <v>1761</v>
      </c>
      <c r="P73" s="50" t="s">
        <v>1808</v>
      </c>
      <c r="Q73" s="105">
        <v>56803</v>
      </c>
    </row>
    <row r="74" spans="1:17" ht="15" customHeight="1" x14ac:dyDescent="0.25">
      <c r="A74" s="49" t="s">
        <v>1893</v>
      </c>
      <c r="B74" s="50" t="s">
        <v>1792</v>
      </c>
      <c r="C74" s="50" t="s">
        <v>51</v>
      </c>
      <c r="D74" s="50" t="s">
        <v>86</v>
      </c>
      <c r="E74" s="50">
        <v>165</v>
      </c>
      <c r="F74" s="50" t="s">
        <v>1374</v>
      </c>
      <c r="G74" s="50" t="s">
        <v>1365</v>
      </c>
      <c r="H74" s="50">
        <v>2.7</v>
      </c>
      <c r="I74" s="50">
        <v>3.3</v>
      </c>
      <c r="J74" s="50">
        <v>0.6</v>
      </c>
      <c r="K74" s="50" t="s">
        <v>1803</v>
      </c>
      <c r="L74" s="50" t="s">
        <v>261</v>
      </c>
      <c r="M74" s="50" t="s">
        <v>1765</v>
      </c>
      <c r="N74" s="50">
        <v>10.8</v>
      </c>
      <c r="O74" s="104" t="s">
        <v>1761</v>
      </c>
      <c r="P74" s="50" t="s">
        <v>1808</v>
      </c>
      <c r="Q74" s="105">
        <v>21641</v>
      </c>
    </row>
    <row r="75" spans="1:17" ht="15" customHeight="1" x14ac:dyDescent="0.25">
      <c r="A75" s="49" t="s">
        <v>1894</v>
      </c>
      <c r="B75" s="50" t="s">
        <v>1819</v>
      </c>
      <c r="C75" s="50" t="s">
        <v>103</v>
      </c>
      <c r="D75" s="50" t="s">
        <v>51</v>
      </c>
      <c r="E75" s="50">
        <v>350</v>
      </c>
      <c r="F75" s="50" t="s">
        <v>725</v>
      </c>
      <c r="G75" s="50"/>
      <c r="H75" s="50">
        <v>5.6</v>
      </c>
      <c r="I75" s="50"/>
      <c r="J75" s="50">
        <v>0</v>
      </c>
      <c r="K75" s="50" t="s">
        <v>1836</v>
      </c>
      <c r="L75" s="50" t="s">
        <v>174</v>
      </c>
      <c r="M75" s="50" t="s">
        <v>1765</v>
      </c>
      <c r="N75" s="50">
        <v>9.9</v>
      </c>
      <c r="O75" s="104" t="s">
        <v>1766</v>
      </c>
      <c r="P75" s="50"/>
      <c r="Q75" s="105">
        <v>64126</v>
      </c>
    </row>
    <row r="76" spans="1:17" ht="15" customHeight="1" x14ac:dyDescent="0.25">
      <c r="A76" s="49" t="s">
        <v>1895</v>
      </c>
      <c r="B76" s="50" t="s">
        <v>1819</v>
      </c>
      <c r="C76" s="50" t="s">
        <v>103</v>
      </c>
      <c r="D76" s="50" t="s">
        <v>51</v>
      </c>
      <c r="E76" s="50">
        <v>350</v>
      </c>
      <c r="F76" s="50" t="s">
        <v>1365</v>
      </c>
      <c r="G76" s="50" t="s">
        <v>1685</v>
      </c>
      <c r="H76" s="50">
        <v>5.5</v>
      </c>
      <c r="I76" s="50">
        <v>6.8</v>
      </c>
      <c r="J76" s="50">
        <v>1.3</v>
      </c>
      <c r="K76" s="50" t="s">
        <v>1834</v>
      </c>
      <c r="L76" s="50" t="s">
        <v>128</v>
      </c>
      <c r="M76" s="50" t="s">
        <v>1790</v>
      </c>
      <c r="N76" s="50">
        <v>4.8</v>
      </c>
      <c r="O76" s="104" t="s">
        <v>1761</v>
      </c>
      <c r="P76" s="50" t="s">
        <v>1820</v>
      </c>
      <c r="Q76" s="105">
        <v>44839</v>
      </c>
    </row>
    <row r="77" spans="1:17" ht="15" customHeight="1" x14ac:dyDescent="0.25">
      <c r="A77" s="49" t="s">
        <v>1896</v>
      </c>
      <c r="B77" s="50" t="s">
        <v>1758</v>
      </c>
      <c r="C77" s="50" t="s">
        <v>86</v>
      </c>
      <c r="D77" s="50" t="s">
        <v>51</v>
      </c>
      <c r="E77" s="50">
        <v>165</v>
      </c>
      <c r="F77" s="50" t="s">
        <v>1897</v>
      </c>
      <c r="G77" s="50" t="s">
        <v>1897</v>
      </c>
      <c r="H77" s="50">
        <v>2.9</v>
      </c>
      <c r="I77" s="50">
        <v>3.7</v>
      </c>
      <c r="J77" s="50">
        <v>0.8</v>
      </c>
      <c r="K77" s="50" t="s">
        <v>1759</v>
      </c>
      <c r="L77" s="50" t="s">
        <v>74</v>
      </c>
      <c r="M77" s="50" t="s">
        <v>1770</v>
      </c>
      <c r="N77" s="50">
        <v>20.7</v>
      </c>
      <c r="O77" s="104" t="s">
        <v>1761</v>
      </c>
      <c r="P77" s="50" t="s">
        <v>1798</v>
      </c>
      <c r="Q77" s="105">
        <v>21286</v>
      </c>
    </row>
    <row r="78" spans="1:17" ht="15" customHeight="1" x14ac:dyDescent="0.25">
      <c r="A78" s="49" t="s">
        <v>1898</v>
      </c>
      <c r="B78" s="50" t="s">
        <v>1786</v>
      </c>
      <c r="C78" s="50" t="s">
        <v>131</v>
      </c>
      <c r="D78" s="50" t="s">
        <v>119</v>
      </c>
      <c r="E78" s="50">
        <v>360</v>
      </c>
      <c r="F78" s="50" t="s">
        <v>1590</v>
      </c>
      <c r="G78" s="50"/>
      <c r="H78" s="50">
        <v>5</v>
      </c>
      <c r="I78" s="50"/>
      <c r="J78" s="50">
        <v>0</v>
      </c>
      <c r="K78" s="50" t="s">
        <v>1817</v>
      </c>
      <c r="L78" s="50" t="s">
        <v>197</v>
      </c>
      <c r="M78" s="50" t="s">
        <v>1755</v>
      </c>
      <c r="N78" s="50">
        <v>6.8</v>
      </c>
      <c r="O78" s="104" t="s">
        <v>700</v>
      </c>
      <c r="P78" s="50"/>
      <c r="Q78" s="105">
        <v>51815</v>
      </c>
    </row>
    <row r="79" spans="1:17" ht="15" customHeight="1" x14ac:dyDescent="0.25">
      <c r="A79" s="49" t="s">
        <v>1899</v>
      </c>
      <c r="B79" s="50" t="s">
        <v>1782</v>
      </c>
      <c r="C79" s="50" t="s">
        <v>51</v>
      </c>
      <c r="D79" s="50" t="s">
        <v>96</v>
      </c>
      <c r="E79" s="50">
        <v>486</v>
      </c>
      <c r="F79" s="50" t="s">
        <v>1900</v>
      </c>
      <c r="G79" s="50" t="s">
        <v>1649</v>
      </c>
      <c r="H79" s="50">
        <v>6.2</v>
      </c>
      <c r="I79" s="50">
        <v>7.3</v>
      </c>
      <c r="J79" s="50">
        <v>1.1000000000000001</v>
      </c>
      <c r="K79" s="50" t="s">
        <v>1769</v>
      </c>
      <c r="L79" s="50" t="s">
        <v>132</v>
      </c>
      <c r="M79" s="50" t="s">
        <v>731</v>
      </c>
      <c r="N79" s="50">
        <v>10.8</v>
      </c>
      <c r="O79" s="104" t="s">
        <v>1761</v>
      </c>
      <c r="P79" s="50" t="s">
        <v>1798</v>
      </c>
      <c r="Q79" s="105">
        <v>119326</v>
      </c>
    </row>
    <row r="80" spans="1:17" ht="15" customHeight="1" x14ac:dyDescent="0.25">
      <c r="A80" s="49" t="s">
        <v>1901</v>
      </c>
      <c r="B80" s="50" t="s">
        <v>1786</v>
      </c>
      <c r="C80" s="50" t="s">
        <v>131</v>
      </c>
      <c r="D80" s="50" t="s">
        <v>119</v>
      </c>
      <c r="E80" s="50">
        <v>360</v>
      </c>
      <c r="F80" s="50" t="s">
        <v>1132</v>
      </c>
      <c r="G80" s="50" t="s">
        <v>1096</v>
      </c>
      <c r="H80" s="50">
        <v>5.8</v>
      </c>
      <c r="I80" s="50">
        <v>7.7</v>
      </c>
      <c r="J80" s="50">
        <v>1.9</v>
      </c>
      <c r="K80" s="50" t="s">
        <v>1779</v>
      </c>
      <c r="L80" s="50" t="s">
        <v>233</v>
      </c>
      <c r="M80" s="50" t="s">
        <v>1770</v>
      </c>
      <c r="N80" s="50">
        <v>26.9</v>
      </c>
      <c r="O80" s="104" t="s">
        <v>1761</v>
      </c>
      <c r="P80" s="50" t="s">
        <v>1775</v>
      </c>
      <c r="Q80" s="105">
        <v>49968</v>
      </c>
    </row>
    <row r="81" spans="1:17" ht="15" customHeight="1" x14ac:dyDescent="0.25">
      <c r="A81" s="49" t="s">
        <v>1902</v>
      </c>
      <c r="B81" s="50" t="s">
        <v>1753</v>
      </c>
      <c r="C81" s="50" t="s">
        <v>96</v>
      </c>
      <c r="D81" s="50" t="s">
        <v>51</v>
      </c>
      <c r="E81" s="50">
        <v>486</v>
      </c>
      <c r="F81" s="50" t="s">
        <v>775</v>
      </c>
      <c r="G81" s="50" t="s">
        <v>1283</v>
      </c>
      <c r="H81" s="50">
        <v>6.3</v>
      </c>
      <c r="I81" s="50">
        <v>9.3000000000000007</v>
      </c>
      <c r="J81" s="50">
        <v>3</v>
      </c>
      <c r="K81" s="50" t="s">
        <v>1794</v>
      </c>
      <c r="L81" s="50" t="s">
        <v>126</v>
      </c>
      <c r="M81" s="50" t="s">
        <v>1790</v>
      </c>
      <c r="N81" s="50">
        <v>26</v>
      </c>
      <c r="O81" s="104" t="s">
        <v>1761</v>
      </c>
      <c r="P81" s="50" t="s">
        <v>1762</v>
      </c>
      <c r="Q81" s="105">
        <v>91217</v>
      </c>
    </row>
    <row r="82" spans="1:17" ht="15" customHeight="1" x14ac:dyDescent="0.25">
      <c r="A82" s="49" t="s">
        <v>1903</v>
      </c>
      <c r="B82" s="50" t="s">
        <v>1782</v>
      </c>
      <c r="C82" s="50" t="s">
        <v>51</v>
      </c>
      <c r="D82" s="50" t="s">
        <v>96</v>
      </c>
      <c r="E82" s="50">
        <v>486</v>
      </c>
      <c r="F82" s="50" t="s">
        <v>847</v>
      </c>
      <c r="G82" s="50"/>
      <c r="H82" s="50">
        <v>7.7</v>
      </c>
      <c r="I82" s="50"/>
      <c r="J82" s="50">
        <v>0</v>
      </c>
      <c r="K82" s="50" t="s">
        <v>1783</v>
      </c>
      <c r="L82" s="50" t="s">
        <v>111</v>
      </c>
      <c r="M82" s="50" t="s">
        <v>1765</v>
      </c>
      <c r="N82" s="50">
        <v>6.9</v>
      </c>
      <c r="O82" s="104" t="s">
        <v>1766</v>
      </c>
      <c r="P82" s="50"/>
      <c r="Q82" s="105">
        <v>84867</v>
      </c>
    </row>
    <row r="83" spans="1:17" ht="15" customHeight="1" x14ac:dyDescent="0.25">
      <c r="A83" s="49" t="s">
        <v>1904</v>
      </c>
      <c r="B83" s="50" t="s">
        <v>1855</v>
      </c>
      <c r="C83" s="50" t="s">
        <v>68</v>
      </c>
      <c r="D83" s="50" t="s">
        <v>93</v>
      </c>
      <c r="E83" s="50">
        <v>67</v>
      </c>
      <c r="F83" s="50" t="s">
        <v>1905</v>
      </c>
      <c r="G83" s="50" t="s">
        <v>1905</v>
      </c>
      <c r="H83" s="50">
        <v>1.2</v>
      </c>
      <c r="I83" s="50">
        <v>1.7</v>
      </c>
      <c r="J83" s="50">
        <v>0.5</v>
      </c>
      <c r="K83" s="50" t="s">
        <v>1759</v>
      </c>
      <c r="L83" s="50" t="s">
        <v>138</v>
      </c>
      <c r="M83" s="50" t="s">
        <v>1784</v>
      </c>
      <c r="N83" s="50">
        <v>17.5</v>
      </c>
      <c r="O83" s="104" t="s">
        <v>1761</v>
      </c>
      <c r="P83" s="50" t="s">
        <v>1762</v>
      </c>
      <c r="Q83" s="105">
        <v>15850</v>
      </c>
    </row>
    <row r="84" spans="1:17" ht="15" customHeight="1" x14ac:dyDescent="0.25">
      <c r="A84" s="49" t="s">
        <v>1906</v>
      </c>
      <c r="B84" s="50" t="s">
        <v>1855</v>
      </c>
      <c r="C84" s="50" t="s">
        <v>68</v>
      </c>
      <c r="D84" s="50" t="s">
        <v>93</v>
      </c>
      <c r="E84" s="50">
        <v>67</v>
      </c>
      <c r="F84" s="50" t="s">
        <v>1279</v>
      </c>
      <c r="G84" s="50"/>
      <c r="H84" s="50">
        <v>1</v>
      </c>
      <c r="I84" s="50"/>
      <c r="J84" s="50">
        <v>0</v>
      </c>
      <c r="K84" s="50" t="s">
        <v>1803</v>
      </c>
      <c r="L84" s="50" t="s">
        <v>195</v>
      </c>
      <c r="M84" s="50" t="s">
        <v>1790</v>
      </c>
      <c r="N84" s="50">
        <v>10.9</v>
      </c>
      <c r="O84" s="50" t="s">
        <v>1756</v>
      </c>
      <c r="P84" s="50"/>
      <c r="Q84" s="105">
        <v>11749</v>
      </c>
    </row>
    <row r="85" spans="1:17" ht="15" customHeight="1" x14ac:dyDescent="0.25">
      <c r="A85" s="49" t="s">
        <v>1907</v>
      </c>
      <c r="B85" s="50" t="s">
        <v>1758</v>
      </c>
      <c r="C85" s="50" t="s">
        <v>86</v>
      </c>
      <c r="D85" s="50" t="s">
        <v>51</v>
      </c>
      <c r="E85" s="50">
        <v>165</v>
      </c>
      <c r="F85" s="50" t="s">
        <v>1699</v>
      </c>
      <c r="G85" s="50" t="s">
        <v>1374</v>
      </c>
      <c r="H85" s="50">
        <v>2.6</v>
      </c>
      <c r="I85" s="50">
        <v>2.9</v>
      </c>
      <c r="J85" s="50">
        <v>0.3</v>
      </c>
      <c r="K85" s="50" t="s">
        <v>1797</v>
      </c>
      <c r="L85" s="50" t="s">
        <v>135</v>
      </c>
      <c r="M85" s="50" t="s">
        <v>1755</v>
      </c>
      <c r="N85" s="50">
        <v>18</v>
      </c>
      <c r="O85" s="104" t="s">
        <v>1761</v>
      </c>
      <c r="P85" s="50" t="s">
        <v>1820</v>
      </c>
      <c r="Q85" s="105">
        <v>33402</v>
      </c>
    </row>
    <row r="86" spans="1:17" ht="15" customHeight="1" x14ac:dyDescent="0.25">
      <c r="A86" s="49" t="s">
        <v>1908</v>
      </c>
      <c r="B86" s="50" t="s">
        <v>1819</v>
      </c>
      <c r="C86" s="50" t="s">
        <v>103</v>
      </c>
      <c r="D86" s="50" t="s">
        <v>51</v>
      </c>
      <c r="E86" s="50">
        <v>350</v>
      </c>
      <c r="F86" s="50" t="s">
        <v>1909</v>
      </c>
      <c r="G86" s="50" t="s">
        <v>1413</v>
      </c>
      <c r="H86" s="50">
        <v>4.7</v>
      </c>
      <c r="I86" s="50">
        <v>5.6</v>
      </c>
      <c r="J86" s="50">
        <v>0.9</v>
      </c>
      <c r="K86" s="50" t="s">
        <v>1823</v>
      </c>
      <c r="L86" s="50" t="s">
        <v>256</v>
      </c>
      <c r="M86" s="50" t="s">
        <v>1765</v>
      </c>
      <c r="N86" s="50">
        <v>18.7</v>
      </c>
      <c r="O86" s="104" t="s">
        <v>1761</v>
      </c>
      <c r="P86" s="50" t="s">
        <v>1775</v>
      </c>
      <c r="Q86" s="105">
        <v>46536</v>
      </c>
    </row>
    <row r="87" spans="1:17" ht="15" customHeight="1" x14ac:dyDescent="0.25">
      <c r="A87" s="49" t="s">
        <v>1910</v>
      </c>
      <c r="B87" s="50" t="s">
        <v>1825</v>
      </c>
      <c r="C87" s="50" t="s">
        <v>103</v>
      </c>
      <c r="D87" s="50" t="s">
        <v>72</v>
      </c>
      <c r="E87" s="50">
        <v>64</v>
      </c>
      <c r="F87" s="50" t="s">
        <v>1057</v>
      </c>
      <c r="G87" s="50" t="s">
        <v>1911</v>
      </c>
      <c r="H87" s="50">
        <v>0.8</v>
      </c>
      <c r="I87" s="50">
        <v>0.8</v>
      </c>
      <c r="J87" s="50">
        <v>0</v>
      </c>
      <c r="K87" s="50" t="s">
        <v>1759</v>
      </c>
      <c r="L87" s="50" t="s">
        <v>147</v>
      </c>
      <c r="M87" s="50" t="s">
        <v>1770</v>
      </c>
      <c r="N87" s="50">
        <v>13.9</v>
      </c>
      <c r="O87" s="104" t="s">
        <v>1761</v>
      </c>
      <c r="P87" s="50" t="s">
        <v>1780</v>
      </c>
      <c r="Q87" s="105">
        <v>15589</v>
      </c>
    </row>
    <row r="88" spans="1:17" ht="15" customHeight="1" x14ac:dyDescent="0.25">
      <c r="A88" s="49" t="s">
        <v>1912</v>
      </c>
      <c r="B88" s="50" t="s">
        <v>1764</v>
      </c>
      <c r="C88" s="50" t="s">
        <v>51</v>
      </c>
      <c r="D88" s="50" t="s">
        <v>62</v>
      </c>
      <c r="E88" s="50">
        <v>160</v>
      </c>
      <c r="F88" s="50" t="s">
        <v>992</v>
      </c>
      <c r="G88" s="50" t="s">
        <v>1913</v>
      </c>
      <c r="H88" s="50">
        <v>2.2999999999999998</v>
      </c>
      <c r="I88" s="50">
        <v>2.4</v>
      </c>
      <c r="J88" s="50">
        <v>0.1</v>
      </c>
      <c r="K88" s="50" t="s">
        <v>1774</v>
      </c>
      <c r="L88" s="50" t="s">
        <v>279</v>
      </c>
      <c r="M88" s="50" t="s">
        <v>1790</v>
      </c>
      <c r="N88" s="50">
        <v>0.7</v>
      </c>
      <c r="O88" s="104" t="s">
        <v>1761</v>
      </c>
      <c r="P88" s="50" t="s">
        <v>1762</v>
      </c>
      <c r="Q88" s="105">
        <v>37496</v>
      </c>
    </row>
    <row r="89" spans="1:17" ht="15" customHeight="1" x14ac:dyDescent="0.25">
      <c r="A89" s="49" t="s">
        <v>1914</v>
      </c>
      <c r="B89" s="50" t="s">
        <v>1812</v>
      </c>
      <c r="C89" s="50" t="s">
        <v>86</v>
      </c>
      <c r="D89" s="50" t="s">
        <v>68</v>
      </c>
      <c r="E89" s="50">
        <v>135</v>
      </c>
      <c r="F89" s="50" t="s">
        <v>1489</v>
      </c>
      <c r="G89" s="50" t="s">
        <v>765</v>
      </c>
      <c r="H89" s="50">
        <v>2.4</v>
      </c>
      <c r="I89" s="50">
        <v>2.7</v>
      </c>
      <c r="J89" s="50">
        <v>0.3</v>
      </c>
      <c r="K89" s="50" t="s">
        <v>1794</v>
      </c>
      <c r="L89" s="50" t="s">
        <v>196</v>
      </c>
      <c r="M89" s="50" t="s">
        <v>1765</v>
      </c>
      <c r="N89" s="50">
        <v>1</v>
      </c>
      <c r="O89" s="104" t="s">
        <v>1761</v>
      </c>
      <c r="P89" s="50" t="s">
        <v>1775</v>
      </c>
      <c r="Q89" s="105">
        <v>21772</v>
      </c>
    </row>
    <row r="90" spans="1:17" ht="15" customHeight="1" x14ac:dyDescent="0.25">
      <c r="A90" s="49" t="s">
        <v>1915</v>
      </c>
      <c r="B90" s="50" t="s">
        <v>1792</v>
      </c>
      <c r="C90" s="50" t="s">
        <v>51</v>
      </c>
      <c r="D90" s="50" t="s">
        <v>86</v>
      </c>
      <c r="E90" s="50">
        <v>165</v>
      </c>
      <c r="F90" s="50" t="s">
        <v>1513</v>
      </c>
      <c r="G90" s="50" t="s">
        <v>1916</v>
      </c>
      <c r="H90" s="50">
        <v>2.1</v>
      </c>
      <c r="I90" s="50">
        <v>3.1</v>
      </c>
      <c r="J90" s="50">
        <v>1</v>
      </c>
      <c r="K90" s="50" t="s">
        <v>1759</v>
      </c>
      <c r="L90" s="50" t="s">
        <v>247</v>
      </c>
      <c r="M90" s="50" t="s">
        <v>1784</v>
      </c>
      <c r="N90" s="50">
        <v>12.1</v>
      </c>
      <c r="O90" s="104" t="s">
        <v>1761</v>
      </c>
      <c r="P90" s="50" t="s">
        <v>1798</v>
      </c>
      <c r="Q90" s="105">
        <v>39950</v>
      </c>
    </row>
    <row r="91" spans="1:17" ht="15" customHeight="1" x14ac:dyDescent="0.25">
      <c r="A91" s="49" t="s">
        <v>1917</v>
      </c>
      <c r="B91" s="50" t="s">
        <v>1786</v>
      </c>
      <c r="C91" s="50" t="s">
        <v>131</v>
      </c>
      <c r="D91" s="50" t="s">
        <v>119</v>
      </c>
      <c r="E91" s="50">
        <v>360</v>
      </c>
      <c r="F91" s="50" t="s">
        <v>1900</v>
      </c>
      <c r="G91" s="50" t="s">
        <v>1649</v>
      </c>
      <c r="H91" s="50">
        <v>5.5</v>
      </c>
      <c r="I91" s="50">
        <v>5.3</v>
      </c>
      <c r="J91" s="50">
        <v>0</v>
      </c>
      <c r="K91" s="50" t="s">
        <v>1836</v>
      </c>
      <c r="L91" s="50" t="s">
        <v>149</v>
      </c>
      <c r="M91" s="50" t="s">
        <v>1765</v>
      </c>
      <c r="N91" s="50">
        <v>21.4</v>
      </c>
      <c r="O91" s="104" t="s">
        <v>1761</v>
      </c>
      <c r="P91" s="50" t="s">
        <v>1780</v>
      </c>
      <c r="Q91" s="105">
        <v>79904</v>
      </c>
    </row>
    <row r="92" spans="1:17" ht="15" customHeight="1" x14ac:dyDescent="0.25">
      <c r="A92" s="49" t="s">
        <v>1918</v>
      </c>
      <c r="B92" s="50" t="s">
        <v>1777</v>
      </c>
      <c r="C92" s="50" t="s">
        <v>68</v>
      </c>
      <c r="D92" s="50" t="s">
        <v>86</v>
      </c>
      <c r="E92" s="50">
        <v>135</v>
      </c>
      <c r="F92" s="50" t="s">
        <v>1919</v>
      </c>
      <c r="G92" s="50" t="s">
        <v>1919</v>
      </c>
      <c r="H92" s="50">
        <v>1.7</v>
      </c>
      <c r="I92" s="50">
        <v>2.2999999999999998</v>
      </c>
      <c r="J92" s="50">
        <v>0.6</v>
      </c>
      <c r="K92" s="50" t="s">
        <v>1759</v>
      </c>
      <c r="L92" s="50" t="s">
        <v>110</v>
      </c>
      <c r="M92" s="50" t="s">
        <v>1765</v>
      </c>
      <c r="N92" s="50">
        <v>1.3</v>
      </c>
      <c r="O92" s="104" t="s">
        <v>1761</v>
      </c>
      <c r="P92" s="50" t="s">
        <v>1808</v>
      </c>
      <c r="Q92" s="105">
        <v>27048</v>
      </c>
    </row>
    <row r="93" spans="1:17" ht="15" customHeight="1" x14ac:dyDescent="0.25">
      <c r="A93" s="49" t="s">
        <v>1920</v>
      </c>
      <c r="B93" s="50" t="s">
        <v>1855</v>
      </c>
      <c r="C93" s="50" t="s">
        <v>68</v>
      </c>
      <c r="D93" s="50" t="s">
        <v>93</v>
      </c>
      <c r="E93" s="50">
        <v>67</v>
      </c>
      <c r="F93" s="50" t="s">
        <v>1905</v>
      </c>
      <c r="G93" s="50"/>
      <c r="H93" s="50">
        <v>1.3</v>
      </c>
      <c r="I93" s="50"/>
      <c r="J93" s="50">
        <v>0</v>
      </c>
      <c r="K93" s="50" t="s">
        <v>1841</v>
      </c>
      <c r="L93" s="50" t="s">
        <v>122</v>
      </c>
      <c r="M93" s="50" t="s">
        <v>1790</v>
      </c>
      <c r="N93" s="50">
        <v>19.2</v>
      </c>
      <c r="O93" s="50" t="s">
        <v>1756</v>
      </c>
      <c r="P93" s="50"/>
      <c r="Q93" s="105">
        <v>9665</v>
      </c>
    </row>
    <row r="94" spans="1:17" ht="15" customHeight="1" x14ac:dyDescent="0.25">
      <c r="A94" s="49" t="s">
        <v>1921</v>
      </c>
      <c r="B94" s="50" t="s">
        <v>1753</v>
      </c>
      <c r="C94" s="50" t="s">
        <v>96</v>
      </c>
      <c r="D94" s="50" t="s">
        <v>51</v>
      </c>
      <c r="E94" s="50">
        <v>486</v>
      </c>
      <c r="F94" s="50" t="s">
        <v>970</v>
      </c>
      <c r="G94" s="50" t="s">
        <v>970</v>
      </c>
      <c r="H94" s="50">
        <v>7.4</v>
      </c>
      <c r="I94" s="50">
        <v>7.8</v>
      </c>
      <c r="J94" s="50">
        <v>0.4</v>
      </c>
      <c r="K94" s="50" t="s">
        <v>1759</v>
      </c>
      <c r="L94" s="50" t="s">
        <v>275</v>
      </c>
      <c r="M94" s="50" t="s">
        <v>1770</v>
      </c>
      <c r="N94" s="50">
        <v>24.3</v>
      </c>
      <c r="O94" s="104" t="s">
        <v>1761</v>
      </c>
      <c r="P94" s="50" t="s">
        <v>1762</v>
      </c>
      <c r="Q94" s="105">
        <v>63562</v>
      </c>
    </row>
    <row r="95" spans="1:17" ht="15" customHeight="1" x14ac:dyDescent="0.25">
      <c r="A95" s="49" t="s">
        <v>1922</v>
      </c>
      <c r="B95" s="50" t="s">
        <v>1792</v>
      </c>
      <c r="C95" s="50" t="s">
        <v>51</v>
      </c>
      <c r="D95" s="50" t="s">
        <v>86</v>
      </c>
      <c r="E95" s="50">
        <v>165</v>
      </c>
      <c r="F95" s="50" t="s">
        <v>1923</v>
      </c>
      <c r="G95" s="50" t="s">
        <v>1923</v>
      </c>
      <c r="H95" s="50">
        <v>2.2000000000000002</v>
      </c>
      <c r="I95" s="50">
        <v>2.2999999999999998</v>
      </c>
      <c r="J95" s="50">
        <v>0.1</v>
      </c>
      <c r="K95" s="50" t="s">
        <v>1823</v>
      </c>
      <c r="L95" s="50" t="s">
        <v>207</v>
      </c>
      <c r="M95" s="50" t="s">
        <v>1755</v>
      </c>
      <c r="N95" s="50">
        <v>4.0999999999999996</v>
      </c>
      <c r="O95" s="104" t="s">
        <v>1761</v>
      </c>
      <c r="P95" s="50" t="s">
        <v>1808</v>
      </c>
      <c r="Q95" s="105">
        <v>21460</v>
      </c>
    </row>
    <row r="96" spans="1:17" ht="15" customHeight="1" x14ac:dyDescent="0.25">
      <c r="A96" s="49" t="s">
        <v>1924</v>
      </c>
      <c r="B96" s="50" t="s">
        <v>1777</v>
      </c>
      <c r="C96" s="50" t="s">
        <v>68</v>
      </c>
      <c r="D96" s="50" t="s">
        <v>86</v>
      </c>
      <c r="E96" s="50">
        <v>135</v>
      </c>
      <c r="F96" s="50" t="s">
        <v>406</v>
      </c>
      <c r="G96" s="50"/>
      <c r="H96" s="50">
        <v>2.5</v>
      </c>
      <c r="I96" s="50"/>
      <c r="J96" s="50">
        <v>0</v>
      </c>
      <c r="K96" s="50" t="s">
        <v>1774</v>
      </c>
      <c r="L96" s="50" t="s">
        <v>74</v>
      </c>
      <c r="M96" s="50" t="s">
        <v>1790</v>
      </c>
      <c r="N96" s="50">
        <v>2.7</v>
      </c>
      <c r="O96" s="104" t="s">
        <v>1766</v>
      </c>
      <c r="P96" s="50"/>
      <c r="Q96" s="105">
        <v>17539</v>
      </c>
    </row>
    <row r="97" spans="1:17" ht="15" customHeight="1" x14ac:dyDescent="0.25">
      <c r="A97" s="49" t="s">
        <v>1925</v>
      </c>
      <c r="B97" s="50" t="s">
        <v>1753</v>
      </c>
      <c r="C97" s="50" t="s">
        <v>96</v>
      </c>
      <c r="D97" s="50" t="s">
        <v>51</v>
      </c>
      <c r="E97" s="50">
        <v>486</v>
      </c>
      <c r="F97" s="50" t="s">
        <v>1339</v>
      </c>
      <c r="G97" s="50"/>
      <c r="H97" s="50">
        <v>7</v>
      </c>
      <c r="I97" s="50"/>
      <c r="J97" s="50">
        <v>0</v>
      </c>
      <c r="K97" s="50" t="s">
        <v>1803</v>
      </c>
      <c r="L97" s="50" t="s">
        <v>130</v>
      </c>
      <c r="M97" s="50" t="s">
        <v>731</v>
      </c>
      <c r="N97" s="50">
        <v>9.3000000000000007</v>
      </c>
      <c r="O97" s="104" t="s">
        <v>700</v>
      </c>
      <c r="P97" s="50"/>
      <c r="Q97" s="105">
        <v>99998</v>
      </c>
    </row>
    <row r="98" spans="1:17" ht="15" customHeight="1" x14ac:dyDescent="0.25">
      <c r="A98" s="49" t="s">
        <v>1926</v>
      </c>
      <c r="B98" s="50" t="s">
        <v>1753</v>
      </c>
      <c r="C98" s="50" t="s">
        <v>96</v>
      </c>
      <c r="D98" s="50" t="s">
        <v>51</v>
      </c>
      <c r="E98" s="50">
        <v>486</v>
      </c>
      <c r="F98" s="50" t="s">
        <v>1597</v>
      </c>
      <c r="G98" s="50" t="s">
        <v>1597</v>
      </c>
      <c r="H98" s="50">
        <v>6.1</v>
      </c>
      <c r="I98" s="50">
        <v>8.1999999999999993</v>
      </c>
      <c r="J98" s="50">
        <v>2.1</v>
      </c>
      <c r="K98" s="50" t="s">
        <v>1803</v>
      </c>
      <c r="L98" s="50" t="s">
        <v>247</v>
      </c>
      <c r="M98" s="50" t="s">
        <v>1755</v>
      </c>
      <c r="N98" s="50">
        <v>16.600000000000001</v>
      </c>
      <c r="O98" s="104" t="s">
        <v>1761</v>
      </c>
      <c r="P98" s="50" t="s">
        <v>1798</v>
      </c>
      <c r="Q98" s="105">
        <v>96614</v>
      </c>
    </row>
    <row r="99" spans="1:17" ht="15" customHeight="1" x14ac:dyDescent="0.25">
      <c r="A99" s="49" t="s">
        <v>1927</v>
      </c>
      <c r="B99" s="50" t="s">
        <v>1855</v>
      </c>
      <c r="C99" s="50" t="s">
        <v>68</v>
      </c>
      <c r="D99" s="50" t="s">
        <v>93</v>
      </c>
      <c r="E99" s="50">
        <v>67</v>
      </c>
      <c r="F99" s="50" t="s">
        <v>1928</v>
      </c>
      <c r="G99" s="50" t="s">
        <v>1928</v>
      </c>
      <c r="H99" s="50">
        <v>0.9</v>
      </c>
      <c r="I99" s="50">
        <v>0.9</v>
      </c>
      <c r="J99" s="50">
        <v>0</v>
      </c>
      <c r="K99" s="50" t="s">
        <v>1759</v>
      </c>
      <c r="L99" s="50" t="s">
        <v>183</v>
      </c>
      <c r="M99" s="50" t="s">
        <v>1765</v>
      </c>
      <c r="N99" s="50">
        <v>27</v>
      </c>
      <c r="O99" s="104" t="s">
        <v>1761</v>
      </c>
      <c r="P99" s="50" t="s">
        <v>1780</v>
      </c>
      <c r="Q99" s="105">
        <v>14379</v>
      </c>
    </row>
    <row r="100" spans="1:17" ht="15" customHeight="1" x14ac:dyDescent="0.25">
      <c r="A100" s="49" t="s">
        <v>1929</v>
      </c>
      <c r="B100" s="50" t="s">
        <v>1792</v>
      </c>
      <c r="C100" s="50" t="s">
        <v>51</v>
      </c>
      <c r="D100" s="50" t="s">
        <v>86</v>
      </c>
      <c r="E100" s="50">
        <v>165</v>
      </c>
      <c r="F100" s="50" t="s">
        <v>1400</v>
      </c>
      <c r="G100" s="50" t="s">
        <v>1140</v>
      </c>
      <c r="H100" s="50">
        <v>2.9</v>
      </c>
      <c r="I100" s="50">
        <v>3.9</v>
      </c>
      <c r="J100" s="50">
        <v>1</v>
      </c>
      <c r="K100" s="50" t="s">
        <v>1823</v>
      </c>
      <c r="L100" s="50" t="s">
        <v>179</v>
      </c>
      <c r="M100" s="50" t="s">
        <v>1784</v>
      </c>
      <c r="N100" s="50">
        <v>16.8</v>
      </c>
      <c r="O100" s="104" t="s">
        <v>1761</v>
      </c>
      <c r="P100" s="50" t="s">
        <v>1820</v>
      </c>
      <c r="Q100" s="105">
        <v>30796</v>
      </c>
    </row>
    <row r="101" spans="1:17" ht="15" customHeight="1" x14ac:dyDescent="0.25">
      <c r="A101" s="49" t="s">
        <v>1930</v>
      </c>
      <c r="B101" s="50" t="s">
        <v>1786</v>
      </c>
      <c r="C101" s="50" t="s">
        <v>131</v>
      </c>
      <c r="D101" s="50" t="s">
        <v>119</v>
      </c>
      <c r="E101" s="50">
        <v>360</v>
      </c>
      <c r="F101" s="50" t="s">
        <v>911</v>
      </c>
      <c r="G101" s="50" t="s">
        <v>718</v>
      </c>
      <c r="H101" s="50">
        <v>6.4</v>
      </c>
      <c r="I101" s="50">
        <v>8.8000000000000007</v>
      </c>
      <c r="J101" s="50">
        <v>2.4</v>
      </c>
      <c r="K101" s="50" t="s">
        <v>1817</v>
      </c>
      <c r="L101" s="50" t="s">
        <v>273</v>
      </c>
      <c r="M101" s="50" t="s">
        <v>1760</v>
      </c>
      <c r="N101" s="50">
        <v>28.9</v>
      </c>
      <c r="O101" s="104" t="s">
        <v>1761</v>
      </c>
      <c r="P101" s="50" t="s">
        <v>1762</v>
      </c>
      <c r="Q101" s="105">
        <v>50953</v>
      </c>
    </row>
    <row r="102" spans="1:17" ht="15" customHeight="1" x14ac:dyDescent="0.25">
      <c r="A102" s="49" t="s">
        <v>1931</v>
      </c>
      <c r="B102" s="50" t="s">
        <v>1822</v>
      </c>
      <c r="C102" s="50" t="s">
        <v>96</v>
      </c>
      <c r="D102" s="50" t="s">
        <v>83</v>
      </c>
      <c r="E102" s="50">
        <v>120</v>
      </c>
      <c r="F102" s="50" t="s">
        <v>907</v>
      </c>
      <c r="G102" s="50" t="s">
        <v>907</v>
      </c>
      <c r="H102" s="50">
        <v>1.9</v>
      </c>
      <c r="I102" s="50">
        <v>2.1</v>
      </c>
      <c r="J102" s="50">
        <v>0.2</v>
      </c>
      <c r="K102" s="50" t="s">
        <v>1841</v>
      </c>
      <c r="L102" s="50" t="s">
        <v>159</v>
      </c>
      <c r="M102" s="50" t="s">
        <v>1770</v>
      </c>
      <c r="N102" s="50">
        <v>9.9</v>
      </c>
      <c r="O102" s="104" t="s">
        <v>1761</v>
      </c>
      <c r="P102" s="50" t="s">
        <v>1775</v>
      </c>
      <c r="Q102" s="105">
        <v>19905</v>
      </c>
    </row>
    <row r="103" spans="1:17" ht="15" customHeight="1" x14ac:dyDescent="0.25">
      <c r="A103" s="49" t="s">
        <v>1932</v>
      </c>
      <c r="B103" s="50" t="s">
        <v>1805</v>
      </c>
      <c r="C103" s="50" t="s">
        <v>51</v>
      </c>
      <c r="D103" s="50" t="s">
        <v>131</v>
      </c>
      <c r="E103" s="50">
        <v>44</v>
      </c>
      <c r="F103" s="50" t="s">
        <v>1135</v>
      </c>
      <c r="G103" s="50" t="s">
        <v>1421</v>
      </c>
      <c r="H103" s="50">
        <v>0.6</v>
      </c>
      <c r="I103" s="50">
        <v>0.9</v>
      </c>
      <c r="J103" s="50">
        <v>0.3</v>
      </c>
      <c r="K103" s="50" t="s">
        <v>1834</v>
      </c>
      <c r="L103" s="50" t="s">
        <v>154</v>
      </c>
      <c r="M103" s="50" t="s">
        <v>1755</v>
      </c>
      <c r="N103" s="50">
        <v>12.6</v>
      </c>
      <c r="O103" s="104" t="s">
        <v>1761</v>
      </c>
      <c r="P103" s="50" t="s">
        <v>1762</v>
      </c>
      <c r="Q103" s="105">
        <v>7558</v>
      </c>
    </row>
    <row r="104" spans="1:17" ht="15" customHeight="1" x14ac:dyDescent="0.25">
      <c r="A104" s="49" t="s">
        <v>1933</v>
      </c>
      <c r="B104" s="50" t="s">
        <v>1768</v>
      </c>
      <c r="C104" s="50" t="s">
        <v>51</v>
      </c>
      <c r="D104" s="50" t="s">
        <v>103</v>
      </c>
      <c r="E104" s="50">
        <v>350</v>
      </c>
      <c r="F104" s="50" t="s">
        <v>1480</v>
      </c>
      <c r="G104" s="50" t="s">
        <v>1184</v>
      </c>
      <c r="H104" s="50">
        <v>4.7</v>
      </c>
      <c r="I104" s="50">
        <v>4.5999999999999996</v>
      </c>
      <c r="J104" s="50">
        <v>0</v>
      </c>
      <c r="K104" s="50" t="s">
        <v>1797</v>
      </c>
      <c r="L104" s="50" t="s">
        <v>152</v>
      </c>
      <c r="M104" s="50" t="s">
        <v>1765</v>
      </c>
      <c r="N104" s="50">
        <v>6.8</v>
      </c>
      <c r="O104" s="104" t="s">
        <v>1761</v>
      </c>
      <c r="P104" s="50" t="s">
        <v>1780</v>
      </c>
      <c r="Q104" s="105">
        <v>47565</v>
      </c>
    </row>
    <row r="105" spans="1:17" ht="15" customHeight="1" x14ac:dyDescent="0.25">
      <c r="A105" s="49" t="s">
        <v>1934</v>
      </c>
      <c r="B105" s="50" t="s">
        <v>1764</v>
      </c>
      <c r="C105" s="50" t="s">
        <v>51</v>
      </c>
      <c r="D105" s="50" t="s">
        <v>62</v>
      </c>
      <c r="E105" s="50">
        <v>160</v>
      </c>
      <c r="F105" s="50" t="s">
        <v>768</v>
      </c>
      <c r="G105" s="50" t="s">
        <v>863</v>
      </c>
      <c r="H105" s="50">
        <v>2.8</v>
      </c>
      <c r="I105" s="50">
        <v>3.5</v>
      </c>
      <c r="J105" s="50">
        <v>0.7</v>
      </c>
      <c r="K105" s="50" t="s">
        <v>1783</v>
      </c>
      <c r="L105" s="50" t="s">
        <v>172</v>
      </c>
      <c r="M105" s="50" t="s">
        <v>731</v>
      </c>
      <c r="N105" s="50">
        <v>17.100000000000001</v>
      </c>
      <c r="O105" s="104" t="s">
        <v>1761</v>
      </c>
      <c r="P105" s="50" t="s">
        <v>1798</v>
      </c>
      <c r="Q105" s="105">
        <v>21341</v>
      </c>
    </row>
    <row r="106" spans="1:17" ht="15" customHeight="1" x14ac:dyDescent="0.25">
      <c r="A106" s="49" t="s">
        <v>1935</v>
      </c>
      <c r="B106" s="50" t="s">
        <v>1812</v>
      </c>
      <c r="C106" s="50" t="s">
        <v>86</v>
      </c>
      <c r="D106" s="50" t="s">
        <v>68</v>
      </c>
      <c r="E106" s="50">
        <v>135</v>
      </c>
      <c r="F106" s="50" t="s">
        <v>1442</v>
      </c>
      <c r="G106" s="50" t="s">
        <v>1936</v>
      </c>
      <c r="H106" s="50">
        <v>2.2000000000000002</v>
      </c>
      <c r="I106" s="50">
        <v>2</v>
      </c>
      <c r="J106" s="50">
        <v>0</v>
      </c>
      <c r="K106" s="50" t="s">
        <v>1774</v>
      </c>
      <c r="L106" s="50" t="s">
        <v>201</v>
      </c>
      <c r="M106" s="50" t="s">
        <v>1760</v>
      </c>
      <c r="N106" s="50">
        <v>24.5</v>
      </c>
      <c r="O106" s="104" t="s">
        <v>1761</v>
      </c>
      <c r="P106" s="50" t="s">
        <v>1780</v>
      </c>
      <c r="Q106" s="105">
        <v>24951</v>
      </c>
    </row>
    <row r="107" spans="1:17" ht="15" customHeight="1" x14ac:dyDescent="0.25">
      <c r="A107" s="49" t="s">
        <v>1937</v>
      </c>
      <c r="B107" s="50" t="s">
        <v>1812</v>
      </c>
      <c r="C107" s="50" t="s">
        <v>86</v>
      </c>
      <c r="D107" s="50" t="s">
        <v>68</v>
      </c>
      <c r="E107" s="50">
        <v>135</v>
      </c>
      <c r="F107" s="50" t="s">
        <v>805</v>
      </c>
      <c r="G107" s="50" t="s">
        <v>1699</v>
      </c>
      <c r="H107" s="50">
        <v>2.1</v>
      </c>
      <c r="I107" s="50">
        <v>2.2000000000000002</v>
      </c>
      <c r="J107" s="50">
        <v>0.1</v>
      </c>
      <c r="K107" s="50" t="s">
        <v>1783</v>
      </c>
      <c r="L107" s="50" t="s">
        <v>173</v>
      </c>
      <c r="M107" s="50" t="s">
        <v>1755</v>
      </c>
      <c r="N107" s="50">
        <v>11.8</v>
      </c>
      <c r="O107" s="104" t="s">
        <v>1761</v>
      </c>
      <c r="P107" s="50" t="s">
        <v>1775</v>
      </c>
      <c r="Q107" s="105">
        <v>33539</v>
      </c>
    </row>
    <row r="108" spans="1:17" ht="15" customHeight="1" x14ac:dyDescent="0.25">
      <c r="A108" s="49" t="s">
        <v>1938</v>
      </c>
      <c r="B108" s="50" t="s">
        <v>1805</v>
      </c>
      <c r="C108" s="50" t="s">
        <v>51</v>
      </c>
      <c r="D108" s="50" t="s">
        <v>131</v>
      </c>
      <c r="E108" s="50">
        <v>44</v>
      </c>
      <c r="F108" s="50" t="s">
        <v>1353</v>
      </c>
      <c r="G108" s="50" t="s">
        <v>1353</v>
      </c>
      <c r="H108" s="50">
        <v>0.6</v>
      </c>
      <c r="I108" s="50">
        <v>0.8</v>
      </c>
      <c r="J108" s="50">
        <v>0.2</v>
      </c>
      <c r="K108" s="50" t="s">
        <v>1836</v>
      </c>
      <c r="L108" s="50" t="s">
        <v>87</v>
      </c>
      <c r="M108" s="50" t="s">
        <v>1755</v>
      </c>
      <c r="N108" s="50">
        <v>27.6</v>
      </c>
      <c r="O108" s="104" t="s">
        <v>1761</v>
      </c>
      <c r="P108" s="50" t="s">
        <v>1820</v>
      </c>
      <c r="Q108" s="105">
        <v>5824</v>
      </c>
    </row>
    <row r="109" spans="1:17" ht="15" customHeight="1" x14ac:dyDescent="0.25">
      <c r="A109" s="49" t="s">
        <v>1939</v>
      </c>
      <c r="B109" s="50" t="s">
        <v>1758</v>
      </c>
      <c r="C109" s="50" t="s">
        <v>86</v>
      </c>
      <c r="D109" s="50" t="s">
        <v>51</v>
      </c>
      <c r="E109" s="50">
        <v>165</v>
      </c>
      <c r="F109" s="50" t="s">
        <v>1299</v>
      </c>
      <c r="G109" s="50"/>
      <c r="H109" s="50">
        <v>2.8</v>
      </c>
      <c r="I109" s="50"/>
      <c r="J109" s="50">
        <v>0</v>
      </c>
      <c r="K109" s="50" t="s">
        <v>1774</v>
      </c>
      <c r="L109" s="50" t="s">
        <v>178</v>
      </c>
      <c r="M109" s="50" t="s">
        <v>1790</v>
      </c>
      <c r="N109" s="50">
        <v>2.9</v>
      </c>
      <c r="O109" s="50" t="s">
        <v>1756</v>
      </c>
      <c r="P109" s="50"/>
      <c r="Q109" s="105">
        <v>30392</v>
      </c>
    </row>
    <row r="110" spans="1:17" ht="15" customHeight="1" x14ac:dyDescent="0.25">
      <c r="A110" s="49" t="s">
        <v>1940</v>
      </c>
      <c r="B110" s="50" t="s">
        <v>1782</v>
      </c>
      <c r="C110" s="50" t="s">
        <v>51</v>
      </c>
      <c r="D110" s="50" t="s">
        <v>96</v>
      </c>
      <c r="E110" s="50">
        <v>486</v>
      </c>
      <c r="F110" s="50" t="s">
        <v>1498</v>
      </c>
      <c r="G110" s="50"/>
      <c r="H110" s="50">
        <v>6.1</v>
      </c>
      <c r="I110" s="50"/>
      <c r="J110" s="50">
        <v>0</v>
      </c>
      <c r="K110" s="50" t="s">
        <v>1803</v>
      </c>
      <c r="L110" s="50" t="s">
        <v>254</v>
      </c>
      <c r="M110" s="50" t="s">
        <v>1765</v>
      </c>
      <c r="N110" s="50">
        <v>25.4</v>
      </c>
      <c r="O110" s="104" t="s">
        <v>700</v>
      </c>
      <c r="P110" s="50"/>
      <c r="Q110" s="105">
        <v>64811</v>
      </c>
    </row>
    <row r="111" spans="1:17" ht="15" customHeight="1" x14ac:dyDescent="0.25">
      <c r="A111" s="49" t="s">
        <v>1941</v>
      </c>
      <c r="B111" s="50" t="s">
        <v>1822</v>
      </c>
      <c r="C111" s="50" t="s">
        <v>96</v>
      </c>
      <c r="D111" s="50" t="s">
        <v>83</v>
      </c>
      <c r="E111" s="50">
        <v>120</v>
      </c>
      <c r="F111" s="50" t="s">
        <v>1178</v>
      </c>
      <c r="G111" s="50" t="s">
        <v>1534</v>
      </c>
      <c r="H111" s="50">
        <v>2.2999999999999998</v>
      </c>
      <c r="I111" s="50">
        <v>2.2999999999999998</v>
      </c>
      <c r="J111" s="50">
        <v>0</v>
      </c>
      <c r="K111" s="50" t="s">
        <v>1797</v>
      </c>
      <c r="L111" s="50" t="s">
        <v>266</v>
      </c>
      <c r="M111" s="50" t="s">
        <v>1784</v>
      </c>
      <c r="N111" s="50">
        <v>13.4</v>
      </c>
      <c r="O111" s="104" t="s">
        <v>1761</v>
      </c>
      <c r="P111" s="50" t="s">
        <v>1780</v>
      </c>
      <c r="Q111" s="105">
        <v>27132</v>
      </c>
    </row>
    <row r="112" spans="1:17" ht="15" customHeight="1" x14ac:dyDescent="0.25">
      <c r="A112" s="49" t="s">
        <v>1942</v>
      </c>
      <c r="B112" s="50" t="s">
        <v>1855</v>
      </c>
      <c r="C112" s="50" t="s">
        <v>68</v>
      </c>
      <c r="D112" s="50" t="s">
        <v>93</v>
      </c>
      <c r="E112" s="50">
        <v>67</v>
      </c>
      <c r="F112" s="50" t="s">
        <v>1005</v>
      </c>
      <c r="G112" s="50" t="s">
        <v>1943</v>
      </c>
      <c r="H112" s="50">
        <v>1.3</v>
      </c>
      <c r="I112" s="50">
        <v>1.4</v>
      </c>
      <c r="J112" s="50">
        <v>0.1</v>
      </c>
      <c r="K112" s="50" t="s">
        <v>1794</v>
      </c>
      <c r="L112" s="50" t="s">
        <v>90</v>
      </c>
      <c r="M112" s="50" t="s">
        <v>1765</v>
      </c>
      <c r="N112" s="50">
        <v>1.9</v>
      </c>
      <c r="O112" s="104" t="s">
        <v>1761</v>
      </c>
      <c r="P112" s="50" t="s">
        <v>1775</v>
      </c>
      <c r="Q112" s="105">
        <v>14935</v>
      </c>
    </row>
    <row r="113" spans="1:17" ht="15" customHeight="1" x14ac:dyDescent="0.25">
      <c r="A113" s="49" t="s">
        <v>1944</v>
      </c>
      <c r="B113" s="50" t="s">
        <v>1786</v>
      </c>
      <c r="C113" s="50" t="s">
        <v>131</v>
      </c>
      <c r="D113" s="50" t="s">
        <v>119</v>
      </c>
      <c r="E113" s="50">
        <v>360</v>
      </c>
      <c r="F113" s="50" t="s">
        <v>1945</v>
      </c>
      <c r="G113" s="50"/>
      <c r="H113" s="50">
        <v>4.5999999999999996</v>
      </c>
      <c r="I113" s="50"/>
      <c r="J113" s="50">
        <v>0</v>
      </c>
      <c r="K113" s="50" t="s">
        <v>1783</v>
      </c>
      <c r="L113" s="50" t="s">
        <v>207</v>
      </c>
      <c r="M113" s="50" t="s">
        <v>1765</v>
      </c>
      <c r="N113" s="50">
        <v>4.2</v>
      </c>
      <c r="O113" s="104" t="s">
        <v>700</v>
      </c>
      <c r="P113" s="50"/>
      <c r="Q113" s="105">
        <v>78442</v>
      </c>
    </row>
    <row r="114" spans="1:17" ht="15" customHeight="1" x14ac:dyDescent="0.25">
      <c r="A114" s="49" t="s">
        <v>1946</v>
      </c>
      <c r="B114" s="50" t="s">
        <v>1805</v>
      </c>
      <c r="C114" s="50" t="s">
        <v>51</v>
      </c>
      <c r="D114" s="50" t="s">
        <v>131</v>
      </c>
      <c r="E114" s="50">
        <v>44</v>
      </c>
      <c r="F114" s="50" t="s">
        <v>1579</v>
      </c>
      <c r="G114" s="50" t="s">
        <v>1444</v>
      </c>
      <c r="H114" s="50">
        <v>0.6</v>
      </c>
      <c r="I114" s="50">
        <v>0.9</v>
      </c>
      <c r="J114" s="50">
        <v>0.3</v>
      </c>
      <c r="K114" s="50" t="s">
        <v>1834</v>
      </c>
      <c r="L114" s="50" t="s">
        <v>225</v>
      </c>
      <c r="M114" s="50" t="s">
        <v>731</v>
      </c>
      <c r="N114" s="50">
        <v>17.5</v>
      </c>
      <c r="O114" s="104" t="s">
        <v>1761</v>
      </c>
      <c r="P114" s="50" t="s">
        <v>1820</v>
      </c>
      <c r="Q114" s="105">
        <v>6572</v>
      </c>
    </row>
    <row r="115" spans="1:17" ht="15" customHeight="1" x14ac:dyDescent="0.25">
      <c r="A115" s="49" t="s">
        <v>1947</v>
      </c>
      <c r="B115" s="50" t="s">
        <v>1812</v>
      </c>
      <c r="C115" s="50" t="s">
        <v>86</v>
      </c>
      <c r="D115" s="50" t="s">
        <v>68</v>
      </c>
      <c r="E115" s="50">
        <v>135</v>
      </c>
      <c r="F115" s="50" t="s">
        <v>1687</v>
      </c>
      <c r="G115" s="50"/>
      <c r="H115" s="50">
        <v>2.2000000000000002</v>
      </c>
      <c r="I115" s="50"/>
      <c r="J115" s="50">
        <v>0</v>
      </c>
      <c r="K115" s="50" t="s">
        <v>1817</v>
      </c>
      <c r="L115" s="50" t="s">
        <v>152</v>
      </c>
      <c r="M115" s="50" t="s">
        <v>1784</v>
      </c>
      <c r="N115" s="50">
        <v>19.600000000000001</v>
      </c>
      <c r="O115" s="104" t="s">
        <v>700</v>
      </c>
      <c r="P115" s="50"/>
      <c r="Q115" s="105">
        <v>28397</v>
      </c>
    </row>
    <row r="116" spans="1:17" ht="15" customHeight="1" x14ac:dyDescent="0.25">
      <c r="A116" s="49" t="s">
        <v>1948</v>
      </c>
      <c r="B116" s="50" t="s">
        <v>1768</v>
      </c>
      <c r="C116" s="50" t="s">
        <v>51</v>
      </c>
      <c r="D116" s="50" t="s">
        <v>103</v>
      </c>
      <c r="E116" s="50">
        <v>350</v>
      </c>
      <c r="F116" s="50" t="s">
        <v>1717</v>
      </c>
      <c r="G116" s="50" t="s">
        <v>1949</v>
      </c>
      <c r="H116" s="50">
        <v>6.9</v>
      </c>
      <c r="I116" s="50">
        <v>7.6</v>
      </c>
      <c r="J116" s="50">
        <v>0.7</v>
      </c>
      <c r="K116" s="50" t="s">
        <v>1759</v>
      </c>
      <c r="L116" s="50" t="s">
        <v>209</v>
      </c>
      <c r="M116" s="50" t="s">
        <v>1770</v>
      </c>
      <c r="N116" s="50">
        <v>11.9</v>
      </c>
      <c r="O116" s="104" t="s">
        <v>1761</v>
      </c>
      <c r="P116" s="50" t="s">
        <v>1775</v>
      </c>
      <c r="Q116" s="105">
        <v>65384</v>
      </c>
    </row>
    <row r="117" spans="1:17" ht="15" customHeight="1" x14ac:dyDescent="0.25">
      <c r="A117" s="49" t="s">
        <v>1950</v>
      </c>
      <c r="B117" s="50" t="s">
        <v>1764</v>
      </c>
      <c r="C117" s="50" t="s">
        <v>51</v>
      </c>
      <c r="D117" s="50" t="s">
        <v>62</v>
      </c>
      <c r="E117" s="50">
        <v>160</v>
      </c>
      <c r="F117" s="50" t="s">
        <v>977</v>
      </c>
      <c r="G117" s="50" t="s">
        <v>1951</v>
      </c>
      <c r="H117" s="50">
        <v>2.2999999999999998</v>
      </c>
      <c r="I117" s="50">
        <v>2.6</v>
      </c>
      <c r="J117" s="50">
        <v>0.3</v>
      </c>
      <c r="K117" s="50" t="s">
        <v>1817</v>
      </c>
      <c r="L117" s="50" t="s">
        <v>219</v>
      </c>
      <c r="M117" s="50" t="s">
        <v>1765</v>
      </c>
      <c r="N117" s="50">
        <v>27.5</v>
      </c>
      <c r="O117" s="104" t="s">
        <v>1761</v>
      </c>
      <c r="P117" s="50" t="s">
        <v>1775</v>
      </c>
      <c r="Q117" s="105">
        <v>29880</v>
      </c>
    </row>
    <row r="118" spans="1:17" ht="15" customHeight="1" x14ac:dyDescent="0.25">
      <c r="A118" s="49" t="s">
        <v>1952</v>
      </c>
      <c r="B118" s="50" t="s">
        <v>1758</v>
      </c>
      <c r="C118" s="50" t="s">
        <v>86</v>
      </c>
      <c r="D118" s="50" t="s">
        <v>51</v>
      </c>
      <c r="E118" s="50">
        <v>165</v>
      </c>
      <c r="F118" s="50" t="s">
        <v>1082</v>
      </c>
      <c r="G118" s="50" t="s">
        <v>985</v>
      </c>
      <c r="H118" s="50">
        <v>2.8</v>
      </c>
      <c r="I118" s="50">
        <v>2.7</v>
      </c>
      <c r="J118" s="50">
        <v>0</v>
      </c>
      <c r="K118" s="50" t="s">
        <v>1807</v>
      </c>
      <c r="L118" s="50" t="s">
        <v>265</v>
      </c>
      <c r="M118" s="50" t="s">
        <v>1760</v>
      </c>
      <c r="N118" s="50">
        <v>28.6</v>
      </c>
      <c r="O118" s="104" t="s">
        <v>1761</v>
      </c>
      <c r="P118" s="50" t="s">
        <v>1780</v>
      </c>
      <c r="Q118" s="105">
        <v>38594</v>
      </c>
    </row>
    <row r="119" spans="1:17" ht="15" customHeight="1" x14ac:dyDescent="0.25">
      <c r="A119" s="49" t="s">
        <v>1953</v>
      </c>
      <c r="B119" s="50" t="s">
        <v>1819</v>
      </c>
      <c r="C119" s="50" t="s">
        <v>103</v>
      </c>
      <c r="D119" s="50" t="s">
        <v>51</v>
      </c>
      <c r="E119" s="50">
        <v>350</v>
      </c>
      <c r="F119" s="50" t="s">
        <v>1115</v>
      </c>
      <c r="G119" s="50" t="s">
        <v>1115</v>
      </c>
      <c r="H119" s="50">
        <v>4.5999999999999996</v>
      </c>
      <c r="I119" s="50">
        <v>5.0999999999999996</v>
      </c>
      <c r="J119" s="50">
        <v>0.5</v>
      </c>
      <c r="K119" s="50" t="s">
        <v>1807</v>
      </c>
      <c r="L119" s="50" t="s">
        <v>158</v>
      </c>
      <c r="M119" s="50" t="s">
        <v>1765</v>
      </c>
      <c r="N119" s="50">
        <v>14.5</v>
      </c>
      <c r="O119" s="104" t="s">
        <v>1761</v>
      </c>
      <c r="P119" s="50" t="s">
        <v>1775</v>
      </c>
      <c r="Q119" s="105">
        <v>45825</v>
      </c>
    </row>
    <row r="120" spans="1:17" ht="15" customHeight="1" x14ac:dyDescent="0.25">
      <c r="A120" s="49" t="s">
        <v>1954</v>
      </c>
      <c r="B120" s="50" t="s">
        <v>1786</v>
      </c>
      <c r="C120" s="50" t="s">
        <v>131</v>
      </c>
      <c r="D120" s="50" t="s">
        <v>119</v>
      </c>
      <c r="E120" s="50">
        <v>360</v>
      </c>
      <c r="F120" s="50" t="s">
        <v>737</v>
      </c>
      <c r="G120" s="50" t="s">
        <v>980</v>
      </c>
      <c r="H120" s="50">
        <v>5.5</v>
      </c>
      <c r="I120" s="50">
        <v>5.0999999999999996</v>
      </c>
      <c r="J120" s="50">
        <v>0</v>
      </c>
      <c r="K120" s="50" t="s">
        <v>1834</v>
      </c>
      <c r="L120" s="50" t="s">
        <v>175</v>
      </c>
      <c r="M120" s="50" t="s">
        <v>1765</v>
      </c>
      <c r="N120" s="50">
        <v>13.5</v>
      </c>
      <c r="O120" s="104" t="s">
        <v>1761</v>
      </c>
      <c r="P120" s="50" t="s">
        <v>1780</v>
      </c>
      <c r="Q120" s="105">
        <v>77458</v>
      </c>
    </row>
    <row r="121" spans="1:17" ht="15" customHeight="1" x14ac:dyDescent="0.25">
      <c r="A121" s="49" t="s">
        <v>1955</v>
      </c>
      <c r="B121" s="50" t="s">
        <v>1786</v>
      </c>
      <c r="C121" s="50" t="s">
        <v>131</v>
      </c>
      <c r="D121" s="50" t="s">
        <v>119</v>
      </c>
      <c r="E121" s="50">
        <v>360</v>
      </c>
      <c r="F121" s="50" t="s">
        <v>970</v>
      </c>
      <c r="G121" s="50" t="s">
        <v>970</v>
      </c>
      <c r="H121" s="50">
        <v>5.8</v>
      </c>
      <c r="I121" s="50">
        <v>5.6</v>
      </c>
      <c r="J121" s="50">
        <v>0</v>
      </c>
      <c r="K121" s="50" t="s">
        <v>1783</v>
      </c>
      <c r="L121" s="50" t="s">
        <v>160</v>
      </c>
      <c r="M121" s="50" t="s">
        <v>1755</v>
      </c>
      <c r="N121" s="50">
        <v>18.399999999999999</v>
      </c>
      <c r="O121" s="104" t="s">
        <v>1761</v>
      </c>
      <c r="P121" s="50" t="s">
        <v>1780</v>
      </c>
      <c r="Q121" s="105">
        <v>73449</v>
      </c>
    </row>
    <row r="122" spans="1:17" ht="15" customHeight="1" x14ac:dyDescent="0.25">
      <c r="A122" s="49" t="s">
        <v>1956</v>
      </c>
      <c r="B122" s="50" t="s">
        <v>1768</v>
      </c>
      <c r="C122" s="50" t="s">
        <v>51</v>
      </c>
      <c r="D122" s="50" t="s">
        <v>103</v>
      </c>
      <c r="E122" s="50">
        <v>350</v>
      </c>
      <c r="F122" s="50" t="s">
        <v>875</v>
      </c>
      <c r="G122" s="50" t="s">
        <v>761</v>
      </c>
      <c r="H122" s="50">
        <v>4.5999999999999996</v>
      </c>
      <c r="I122" s="50">
        <v>4.8</v>
      </c>
      <c r="J122" s="50">
        <v>0.2</v>
      </c>
      <c r="K122" s="50" t="s">
        <v>1783</v>
      </c>
      <c r="L122" s="50" t="s">
        <v>158</v>
      </c>
      <c r="M122" s="50" t="s">
        <v>731</v>
      </c>
      <c r="N122" s="50">
        <v>2.4</v>
      </c>
      <c r="O122" s="104" t="s">
        <v>1761</v>
      </c>
      <c r="P122" s="50" t="s">
        <v>1820</v>
      </c>
      <c r="Q122" s="105">
        <v>59832</v>
      </c>
    </row>
    <row r="123" spans="1:17" ht="15" customHeight="1" x14ac:dyDescent="0.25">
      <c r="A123" s="49" t="s">
        <v>1957</v>
      </c>
      <c r="B123" s="50" t="s">
        <v>1768</v>
      </c>
      <c r="C123" s="50" t="s">
        <v>51</v>
      </c>
      <c r="D123" s="50" t="s">
        <v>103</v>
      </c>
      <c r="E123" s="50">
        <v>350</v>
      </c>
      <c r="F123" s="50" t="s">
        <v>1169</v>
      </c>
      <c r="G123" s="50" t="s">
        <v>1382</v>
      </c>
      <c r="H123" s="50">
        <v>4.5999999999999996</v>
      </c>
      <c r="I123" s="50">
        <v>5.9</v>
      </c>
      <c r="J123" s="50">
        <v>1.3</v>
      </c>
      <c r="K123" s="50" t="s">
        <v>1769</v>
      </c>
      <c r="L123" s="50" t="s">
        <v>216</v>
      </c>
      <c r="M123" s="50" t="s">
        <v>731</v>
      </c>
      <c r="N123" s="50">
        <v>5.5</v>
      </c>
      <c r="O123" s="104" t="s">
        <v>1761</v>
      </c>
      <c r="P123" s="50" t="s">
        <v>1775</v>
      </c>
      <c r="Q123" s="105">
        <v>55103</v>
      </c>
    </row>
    <row r="124" spans="1:17" ht="15" customHeight="1" x14ac:dyDescent="0.25">
      <c r="A124" s="49" t="s">
        <v>1958</v>
      </c>
      <c r="B124" s="50" t="s">
        <v>1782</v>
      </c>
      <c r="C124" s="50" t="s">
        <v>51</v>
      </c>
      <c r="D124" s="50" t="s">
        <v>96</v>
      </c>
      <c r="E124" s="50">
        <v>486</v>
      </c>
      <c r="F124" s="50" t="s">
        <v>1239</v>
      </c>
      <c r="G124" s="50"/>
      <c r="H124" s="50">
        <v>6.3</v>
      </c>
      <c r="I124" s="50"/>
      <c r="J124" s="50">
        <v>0</v>
      </c>
      <c r="K124" s="50" t="s">
        <v>1783</v>
      </c>
      <c r="L124" s="50" t="s">
        <v>212</v>
      </c>
      <c r="M124" s="50" t="s">
        <v>1784</v>
      </c>
      <c r="N124" s="50">
        <v>9.5</v>
      </c>
      <c r="O124" s="104" t="s">
        <v>700</v>
      </c>
      <c r="P124" s="50"/>
      <c r="Q124" s="105">
        <v>73396</v>
      </c>
    </row>
    <row r="125" spans="1:17" ht="15" customHeight="1" x14ac:dyDescent="0.25">
      <c r="A125" s="49" t="s">
        <v>1959</v>
      </c>
      <c r="B125" s="50" t="s">
        <v>1764</v>
      </c>
      <c r="C125" s="50" t="s">
        <v>51</v>
      </c>
      <c r="D125" s="50" t="s">
        <v>62</v>
      </c>
      <c r="E125" s="50">
        <v>160</v>
      </c>
      <c r="F125" s="50" t="s">
        <v>1419</v>
      </c>
      <c r="G125" s="50" t="s">
        <v>1701</v>
      </c>
      <c r="H125" s="50">
        <v>2.7</v>
      </c>
      <c r="I125" s="50">
        <v>2.5</v>
      </c>
      <c r="J125" s="50">
        <v>0</v>
      </c>
      <c r="K125" s="50" t="s">
        <v>1803</v>
      </c>
      <c r="L125" s="50" t="s">
        <v>125</v>
      </c>
      <c r="M125" s="50" t="s">
        <v>1765</v>
      </c>
      <c r="N125" s="50">
        <v>20.100000000000001</v>
      </c>
      <c r="O125" s="104" t="s">
        <v>1761</v>
      </c>
      <c r="P125" s="50" t="s">
        <v>1780</v>
      </c>
      <c r="Q125" s="105">
        <v>37530</v>
      </c>
    </row>
    <row r="126" spans="1:17" ht="15" customHeight="1" x14ac:dyDescent="0.25">
      <c r="A126" s="49" t="s">
        <v>1960</v>
      </c>
      <c r="B126" s="50" t="s">
        <v>1792</v>
      </c>
      <c r="C126" s="50" t="s">
        <v>51</v>
      </c>
      <c r="D126" s="50" t="s">
        <v>86</v>
      </c>
      <c r="E126" s="50">
        <v>165</v>
      </c>
      <c r="F126" s="50" t="s">
        <v>1403</v>
      </c>
      <c r="G126" s="50" t="s">
        <v>1403</v>
      </c>
      <c r="H126" s="50">
        <v>2.1</v>
      </c>
      <c r="I126" s="50">
        <v>1.9</v>
      </c>
      <c r="J126" s="50">
        <v>0</v>
      </c>
      <c r="K126" s="50" t="s">
        <v>1783</v>
      </c>
      <c r="L126" s="50" t="s">
        <v>49</v>
      </c>
      <c r="M126" s="50" t="s">
        <v>1790</v>
      </c>
      <c r="N126" s="50">
        <v>26.3</v>
      </c>
      <c r="O126" s="104" t="s">
        <v>1761</v>
      </c>
      <c r="P126" s="50" t="s">
        <v>1780</v>
      </c>
      <c r="Q126" s="105">
        <v>31968</v>
      </c>
    </row>
    <row r="127" spans="1:17" ht="15" customHeight="1" x14ac:dyDescent="0.25">
      <c r="A127" s="49" t="s">
        <v>1961</v>
      </c>
      <c r="B127" s="50" t="s">
        <v>1812</v>
      </c>
      <c r="C127" s="50" t="s">
        <v>86</v>
      </c>
      <c r="D127" s="50" t="s">
        <v>68</v>
      </c>
      <c r="E127" s="50">
        <v>135</v>
      </c>
      <c r="F127" s="50" t="s">
        <v>1928</v>
      </c>
      <c r="G127" s="50"/>
      <c r="H127" s="50">
        <v>2.5</v>
      </c>
      <c r="I127" s="50"/>
      <c r="J127" s="50">
        <v>0</v>
      </c>
      <c r="K127" s="50" t="s">
        <v>1807</v>
      </c>
      <c r="L127" s="50" t="s">
        <v>288</v>
      </c>
      <c r="M127" s="50" t="s">
        <v>1765</v>
      </c>
      <c r="N127" s="50">
        <v>3.4</v>
      </c>
      <c r="O127" s="50" t="s">
        <v>1756</v>
      </c>
      <c r="P127" s="50"/>
      <c r="Q127" s="105">
        <v>22091</v>
      </c>
    </row>
    <row r="128" spans="1:17" ht="15" customHeight="1" x14ac:dyDescent="0.25">
      <c r="A128" s="49" t="s">
        <v>1962</v>
      </c>
      <c r="B128" s="50" t="s">
        <v>1825</v>
      </c>
      <c r="C128" s="50" t="s">
        <v>103</v>
      </c>
      <c r="D128" s="50" t="s">
        <v>72</v>
      </c>
      <c r="E128" s="50">
        <v>64</v>
      </c>
      <c r="F128" s="50" t="s">
        <v>944</v>
      </c>
      <c r="G128" s="50" t="s">
        <v>1963</v>
      </c>
      <c r="H128" s="50">
        <v>0.9</v>
      </c>
      <c r="I128" s="50">
        <v>1.2</v>
      </c>
      <c r="J128" s="50">
        <v>0.3</v>
      </c>
      <c r="K128" s="50" t="s">
        <v>1769</v>
      </c>
      <c r="L128" s="50" t="s">
        <v>183</v>
      </c>
      <c r="M128" s="50" t="s">
        <v>1790</v>
      </c>
      <c r="N128" s="50">
        <v>0.9</v>
      </c>
      <c r="O128" s="104" t="s">
        <v>1761</v>
      </c>
      <c r="P128" s="50" t="s">
        <v>1775</v>
      </c>
      <c r="Q128" s="105">
        <v>11710</v>
      </c>
    </row>
    <row r="129" spans="1:17" ht="15" customHeight="1" x14ac:dyDescent="0.25">
      <c r="A129" s="49" t="s">
        <v>1964</v>
      </c>
      <c r="B129" s="50" t="s">
        <v>1812</v>
      </c>
      <c r="C129" s="50" t="s">
        <v>86</v>
      </c>
      <c r="D129" s="50" t="s">
        <v>68</v>
      </c>
      <c r="E129" s="50">
        <v>135</v>
      </c>
      <c r="F129" s="50" t="s">
        <v>980</v>
      </c>
      <c r="G129" s="50" t="s">
        <v>1474</v>
      </c>
      <c r="H129" s="50">
        <v>1.8</v>
      </c>
      <c r="I129" s="50">
        <v>2.4</v>
      </c>
      <c r="J129" s="50">
        <v>0.6</v>
      </c>
      <c r="K129" s="50" t="s">
        <v>1754</v>
      </c>
      <c r="L129" s="50" t="s">
        <v>125</v>
      </c>
      <c r="M129" s="50" t="s">
        <v>1760</v>
      </c>
      <c r="N129" s="50">
        <v>15.2</v>
      </c>
      <c r="O129" s="104" t="s">
        <v>1761</v>
      </c>
      <c r="P129" s="50" t="s">
        <v>1762</v>
      </c>
      <c r="Q129" s="105">
        <v>19821</v>
      </c>
    </row>
    <row r="130" spans="1:17" ht="15" customHeight="1" x14ac:dyDescent="0.25">
      <c r="A130" s="49" t="s">
        <v>1965</v>
      </c>
      <c r="B130" s="50" t="s">
        <v>1768</v>
      </c>
      <c r="C130" s="50" t="s">
        <v>51</v>
      </c>
      <c r="D130" s="50" t="s">
        <v>103</v>
      </c>
      <c r="E130" s="50">
        <v>350</v>
      </c>
      <c r="F130" s="50" t="s">
        <v>1195</v>
      </c>
      <c r="G130" s="50"/>
      <c r="H130" s="50">
        <v>6.6</v>
      </c>
      <c r="I130" s="50"/>
      <c r="J130" s="50">
        <v>0</v>
      </c>
      <c r="K130" s="50" t="s">
        <v>1769</v>
      </c>
      <c r="L130" s="50" t="s">
        <v>250</v>
      </c>
      <c r="M130" s="50" t="s">
        <v>1784</v>
      </c>
      <c r="N130" s="50">
        <v>16.600000000000001</v>
      </c>
      <c r="O130" s="104" t="s">
        <v>700</v>
      </c>
      <c r="P130" s="50"/>
      <c r="Q130" s="105">
        <v>86924</v>
      </c>
    </row>
    <row r="131" spans="1:17" ht="15" customHeight="1" x14ac:dyDescent="0.25">
      <c r="A131" s="49" t="s">
        <v>1966</v>
      </c>
      <c r="B131" s="50" t="s">
        <v>1805</v>
      </c>
      <c r="C131" s="50" t="s">
        <v>51</v>
      </c>
      <c r="D131" s="50" t="s">
        <v>131</v>
      </c>
      <c r="E131" s="50">
        <v>44</v>
      </c>
      <c r="F131" s="50" t="s">
        <v>1024</v>
      </c>
      <c r="G131" s="50"/>
      <c r="H131" s="50">
        <v>0.7</v>
      </c>
      <c r="I131" s="50"/>
      <c r="J131" s="50">
        <v>0</v>
      </c>
      <c r="K131" s="50" t="s">
        <v>1797</v>
      </c>
      <c r="L131" s="50" t="s">
        <v>190</v>
      </c>
      <c r="M131" s="50" t="s">
        <v>1755</v>
      </c>
      <c r="N131" s="50">
        <v>12.8</v>
      </c>
      <c r="O131" s="104" t="s">
        <v>1766</v>
      </c>
      <c r="P131" s="50"/>
      <c r="Q131" s="105">
        <v>7049</v>
      </c>
    </row>
    <row r="132" spans="1:17" ht="15" customHeight="1" x14ac:dyDescent="0.25">
      <c r="A132" s="49" t="s">
        <v>1967</v>
      </c>
      <c r="B132" s="50" t="s">
        <v>1782</v>
      </c>
      <c r="C132" s="50" t="s">
        <v>51</v>
      </c>
      <c r="D132" s="50" t="s">
        <v>96</v>
      </c>
      <c r="E132" s="50">
        <v>486</v>
      </c>
      <c r="F132" s="50" t="s">
        <v>745</v>
      </c>
      <c r="G132" s="50" t="s">
        <v>1314</v>
      </c>
      <c r="H132" s="50">
        <v>7.7</v>
      </c>
      <c r="I132" s="50">
        <v>11.4</v>
      </c>
      <c r="J132" s="50">
        <v>3.7</v>
      </c>
      <c r="K132" s="50" t="s">
        <v>1803</v>
      </c>
      <c r="L132" s="50" t="s">
        <v>235</v>
      </c>
      <c r="M132" s="50" t="s">
        <v>1770</v>
      </c>
      <c r="N132" s="50">
        <v>23.9</v>
      </c>
      <c r="O132" s="104" t="s">
        <v>1761</v>
      </c>
      <c r="P132" s="50" t="s">
        <v>1798</v>
      </c>
      <c r="Q132" s="105">
        <v>87782</v>
      </c>
    </row>
    <row r="133" spans="1:17" ht="15" customHeight="1" x14ac:dyDescent="0.25">
      <c r="A133" s="49" t="s">
        <v>1968</v>
      </c>
      <c r="B133" s="50" t="s">
        <v>1792</v>
      </c>
      <c r="C133" s="50" t="s">
        <v>51</v>
      </c>
      <c r="D133" s="50" t="s">
        <v>86</v>
      </c>
      <c r="E133" s="50">
        <v>165</v>
      </c>
      <c r="F133" s="50" t="s">
        <v>335</v>
      </c>
      <c r="G133" s="50" t="s">
        <v>335</v>
      </c>
      <c r="H133" s="50">
        <v>2.4</v>
      </c>
      <c r="I133" s="50">
        <v>2.8</v>
      </c>
      <c r="J133" s="50">
        <v>0.4</v>
      </c>
      <c r="K133" s="50" t="s">
        <v>1769</v>
      </c>
      <c r="L133" s="50" t="s">
        <v>214</v>
      </c>
      <c r="M133" s="50" t="s">
        <v>1760</v>
      </c>
      <c r="N133" s="50">
        <v>2.4</v>
      </c>
      <c r="O133" s="104" t="s">
        <v>1761</v>
      </c>
      <c r="P133" s="50" t="s">
        <v>1762</v>
      </c>
      <c r="Q133" s="105">
        <v>37506</v>
      </c>
    </row>
    <row r="134" spans="1:17" ht="15" customHeight="1" x14ac:dyDescent="0.25">
      <c r="A134" s="49" t="s">
        <v>1969</v>
      </c>
      <c r="B134" s="50" t="s">
        <v>1768</v>
      </c>
      <c r="C134" s="50" t="s">
        <v>51</v>
      </c>
      <c r="D134" s="50" t="s">
        <v>103</v>
      </c>
      <c r="E134" s="50">
        <v>350</v>
      </c>
      <c r="F134" s="50" t="s">
        <v>1242</v>
      </c>
      <c r="G134" s="50" t="s">
        <v>938</v>
      </c>
      <c r="H134" s="50">
        <v>7</v>
      </c>
      <c r="I134" s="50">
        <v>7.8</v>
      </c>
      <c r="J134" s="50">
        <v>0.8</v>
      </c>
      <c r="K134" s="50" t="s">
        <v>1797</v>
      </c>
      <c r="L134" s="50" t="s">
        <v>259</v>
      </c>
      <c r="M134" s="50" t="s">
        <v>1770</v>
      </c>
      <c r="N134" s="50">
        <v>0.5</v>
      </c>
      <c r="O134" s="104" t="s">
        <v>1761</v>
      </c>
      <c r="P134" s="50" t="s">
        <v>1775</v>
      </c>
      <c r="Q134" s="105">
        <v>72272</v>
      </c>
    </row>
    <row r="135" spans="1:17" ht="15" customHeight="1" x14ac:dyDescent="0.25">
      <c r="A135" s="49" t="s">
        <v>1970</v>
      </c>
      <c r="B135" s="50" t="s">
        <v>1758</v>
      </c>
      <c r="C135" s="50" t="s">
        <v>86</v>
      </c>
      <c r="D135" s="50" t="s">
        <v>51</v>
      </c>
      <c r="E135" s="50">
        <v>165</v>
      </c>
      <c r="F135" s="50" t="s">
        <v>1297</v>
      </c>
      <c r="G135" s="50" t="s">
        <v>1238</v>
      </c>
      <c r="H135" s="50">
        <v>2.8</v>
      </c>
      <c r="I135" s="50">
        <v>2.9</v>
      </c>
      <c r="J135" s="50">
        <v>0.1</v>
      </c>
      <c r="K135" s="50" t="s">
        <v>1841</v>
      </c>
      <c r="L135" s="50" t="s">
        <v>140</v>
      </c>
      <c r="M135" s="50" t="s">
        <v>1790</v>
      </c>
      <c r="N135" s="50">
        <v>17.8</v>
      </c>
      <c r="O135" s="104" t="s">
        <v>1761</v>
      </c>
      <c r="P135" s="50" t="s">
        <v>1762</v>
      </c>
      <c r="Q135" s="105">
        <v>25135</v>
      </c>
    </row>
    <row r="136" spans="1:17" ht="15" customHeight="1" x14ac:dyDescent="0.25">
      <c r="A136" s="49" t="s">
        <v>1971</v>
      </c>
      <c r="B136" s="50" t="s">
        <v>1753</v>
      </c>
      <c r="C136" s="50" t="s">
        <v>96</v>
      </c>
      <c r="D136" s="50" t="s">
        <v>51</v>
      </c>
      <c r="E136" s="50">
        <v>486</v>
      </c>
      <c r="F136" s="50" t="s">
        <v>439</v>
      </c>
      <c r="G136" s="50" t="s">
        <v>957</v>
      </c>
      <c r="H136" s="50">
        <v>6.2</v>
      </c>
      <c r="I136" s="50">
        <v>7.2</v>
      </c>
      <c r="J136" s="50">
        <v>1</v>
      </c>
      <c r="K136" s="50" t="s">
        <v>1823</v>
      </c>
      <c r="L136" s="50" t="s">
        <v>156</v>
      </c>
      <c r="M136" s="50" t="s">
        <v>1760</v>
      </c>
      <c r="N136" s="50">
        <v>18.100000000000001</v>
      </c>
      <c r="O136" s="104" t="s">
        <v>1761</v>
      </c>
      <c r="P136" s="50" t="s">
        <v>1775</v>
      </c>
      <c r="Q136" s="105">
        <v>67113</v>
      </c>
    </row>
    <row r="137" spans="1:17" ht="15" customHeight="1" x14ac:dyDescent="0.25">
      <c r="A137" s="49" t="s">
        <v>1972</v>
      </c>
      <c r="B137" s="50" t="s">
        <v>1758</v>
      </c>
      <c r="C137" s="50" t="s">
        <v>86</v>
      </c>
      <c r="D137" s="50" t="s">
        <v>51</v>
      </c>
      <c r="E137" s="50">
        <v>165</v>
      </c>
      <c r="F137" s="50" t="s">
        <v>1208</v>
      </c>
      <c r="G137" s="50" t="s">
        <v>970</v>
      </c>
      <c r="H137" s="50">
        <v>2.6</v>
      </c>
      <c r="I137" s="50">
        <v>3.3</v>
      </c>
      <c r="J137" s="50">
        <v>0.7</v>
      </c>
      <c r="K137" s="50" t="s">
        <v>1759</v>
      </c>
      <c r="L137" s="50" t="s">
        <v>167</v>
      </c>
      <c r="M137" s="50" t="s">
        <v>1760</v>
      </c>
      <c r="N137" s="50">
        <v>3</v>
      </c>
      <c r="O137" s="104" t="s">
        <v>1761</v>
      </c>
      <c r="P137" s="50" t="s">
        <v>1798</v>
      </c>
      <c r="Q137" s="105">
        <v>27864</v>
      </c>
    </row>
    <row r="138" spans="1:17" ht="15" customHeight="1" x14ac:dyDescent="0.25">
      <c r="A138" s="49" t="s">
        <v>1973</v>
      </c>
      <c r="B138" s="50" t="s">
        <v>1805</v>
      </c>
      <c r="C138" s="50" t="s">
        <v>51</v>
      </c>
      <c r="D138" s="50" t="s">
        <v>131</v>
      </c>
      <c r="E138" s="50">
        <v>44</v>
      </c>
      <c r="F138" s="50" t="s">
        <v>1974</v>
      </c>
      <c r="G138" s="50" t="s">
        <v>1699</v>
      </c>
      <c r="H138" s="50">
        <v>0.7</v>
      </c>
      <c r="I138" s="50">
        <v>0.8</v>
      </c>
      <c r="J138" s="50">
        <v>0.1</v>
      </c>
      <c r="K138" s="50" t="s">
        <v>1841</v>
      </c>
      <c r="L138" s="50" t="s">
        <v>170</v>
      </c>
      <c r="M138" s="50" t="s">
        <v>1755</v>
      </c>
      <c r="N138" s="50">
        <v>28.1</v>
      </c>
      <c r="O138" s="104" t="s">
        <v>1761</v>
      </c>
      <c r="P138" s="50" t="s">
        <v>1820</v>
      </c>
      <c r="Q138" s="105">
        <v>7685</v>
      </c>
    </row>
    <row r="139" spans="1:17" ht="15" customHeight="1" x14ac:dyDescent="0.25">
      <c r="A139" s="49" t="s">
        <v>1975</v>
      </c>
      <c r="B139" s="50" t="s">
        <v>1786</v>
      </c>
      <c r="C139" s="50" t="s">
        <v>131</v>
      </c>
      <c r="D139" s="50" t="s">
        <v>119</v>
      </c>
      <c r="E139" s="50">
        <v>360</v>
      </c>
      <c r="F139" s="50" t="s">
        <v>1976</v>
      </c>
      <c r="G139" s="50" t="s">
        <v>1976</v>
      </c>
      <c r="H139" s="50">
        <v>7.1</v>
      </c>
      <c r="I139" s="50">
        <v>7.7</v>
      </c>
      <c r="J139" s="50">
        <v>0.6</v>
      </c>
      <c r="K139" s="50" t="s">
        <v>1774</v>
      </c>
      <c r="L139" s="50" t="s">
        <v>197</v>
      </c>
      <c r="M139" s="50" t="s">
        <v>1765</v>
      </c>
      <c r="N139" s="50">
        <v>22.8</v>
      </c>
      <c r="O139" s="104" t="s">
        <v>1761</v>
      </c>
      <c r="P139" s="50" t="s">
        <v>1775</v>
      </c>
      <c r="Q139" s="105">
        <v>67171</v>
      </c>
    </row>
    <row r="140" spans="1:17" ht="15" customHeight="1" x14ac:dyDescent="0.25">
      <c r="A140" s="49" t="s">
        <v>1977</v>
      </c>
      <c r="B140" s="50" t="s">
        <v>1792</v>
      </c>
      <c r="C140" s="50" t="s">
        <v>51</v>
      </c>
      <c r="D140" s="50" t="s">
        <v>86</v>
      </c>
      <c r="E140" s="50">
        <v>165</v>
      </c>
      <c r="F140" s="50" t="s">
        <v>864</v>
      </c>
      <c r="G140" s="50"/>
      <c r="H140" s="50">
        <v>2.2000000000000002</v>
      </c>
      <c r="I140" s="50"/>
      <c r="J140" s="50">
        <v>0</v>
      </c>
      <c r="K140" s="50" t="s">
        <v>1807</v>
      </c>
      <c r="L140" s="50" t="s">
        <v>193</v>
      </c>
      <c r="M140" s="50" t="s">
        <v>1784</v>
      </c>
      <c r="N140" s="50">
        <v>0.7</v>
      </c>
      <c r="O140" s="50" t="s">
        <v>1756</v>
      </c>
      <c r="P140" s="50"/>
      <c r="Q140" s="105">
        <v>38567</v>
      </c>
    </row>
    <row r="141" spans="1:17" ht="15" customHeight="1" x14ac:dyDescent="0.25">
      <c r="A141" s="49" t="s">
        <v>1978</v>
      </c>
      <c r="B141" s="50" t="s">
        <v>1825</v>
      </c>
      <c r="C141" s="50" t="s">
        <v>103</v>
      </c>
      <c r="D141" s="50" t="s">
        <v>72</v>
      </c>
      <c r="E141" s="50">
        <v>64</v>
      </c>
      <c r="F141" s="50" t="s">
        <v>875</v>
      </c>
      <c r="G141" s="50"/>
      <c r="H141" s="50">
        <v>1.1000000000000001</v>
      </c>
      <c r="I141" s="50"/>
      <c r="J141" s="50">
        <v>0</v>
      </c>
      <c r="K141" s="50" t="s">
        <v>1754</v>
      </c>
      <c r="L141" s="50" t="s">
        <v>115</v>
      </c>
      <c r="M141" s="50" t="s">
        <v>1760</v>
      </c>
      <c r="N141" s="50">
        <v>18</v>
      </c>
      <c r="O141" s="50" t="s">
        <v>1756</v>
      </c>
      <c r="P141" s="50"/>
      <c r="Q141" s="105">
        <v>12384</v>
      </c>
    </row>
    <row r="142" spans="1:17" ht="15" customHeight="1" x14ac:dyDescent="0.25">
      <c r="A142" s="49" t="s">
        <v>1979</v>
      </c>
      <c r="B142" s="50" t="s">
        <v>1819</v>
      </c>
      <c r="C142" s="50" t="s">
        <v>103</v>
      </c>
      <c r="D142" s="50" t="s">
        <v>51</v>
      </c>
      <c r="E142" s="50">
        <v>350</v>
      </c>
      <c r="F142" s="50" t="s">
        <v>1033</v>
      </c>
      <c r="G142" s="50" t="s">
        <v>1283</v>
      </c>
      <c r="H142" s="50">
        <v>4.8</v>
      </c>
      <c r="I142" s="50">
        <v>5.8</v>
      </c>
      <c r="J142" s="50">
        <v>1</v>
      </c>
      <c r="K142" s="50" t="s">
        <v>1754</v>
      </c>
      <c r="L142" s="50" t="s">
        <v>220</v>
      </c>
      <c r="M142" s="50" t="s">
        <v>1784</v>
      </c>
      <c r="N142" s="50">
        <v>21.7</v>
      </c>
      <c r="O142" s="104" t="s">
        <v>1761</v>
      </c>
      <c r="P142" s="50" t="s">
        <v>1820</v>
      </c>
      <c r="Q142" s="105">
        <v>48206</v>
      </c>
    </row>
    <row r="143" spans="1:17" ht="15" customHeight="1" x14ac:dyDescent="0.25">
      <c r="A143" s="49" t="s">
        <v>1980</v>
      </c>
      <c r="B143" s="50" t="s">
        <v>1805</v>
      </c>
      <c r="C143" s="50" t="s">
        <v>51</v>
      </c>
      <c r="D143" s="50" t="s">
        <v>131</v>
      </c>
      <c r="E143" s="50">
        <v>44</v>
      </c>
      <c r="F143" s="50" t="s">
        <v>884</v>
      </c>
      <c r="G143" s="50" t="s">
        <v>884</v>
      </c>
      <c r="H143" s="50">
        <v>0.7</v>
      </c>
      <c r="I143" s="50">
        <v>0.7</v>
      </c>
      <c r="J143" s="50">
        <v>0</v>
      </c>
      <c r="K143" s="50" t="s">
        <v>1794</v>
      </c>
      <c r="L143" s="50" t="s">
        <v>56</v>
      </c>
      <c r="M143" s="50" t="s">
        <v>1770</v>
      </c>
      <c r="N143" s="50">
        <v>14.8</v>
      </c>
      <c r="O143" s="104" t="s">
        <v>1761</v>
      </c>
      <c r="P143" s="50" t="s">
        <v>1780</v>
      </c>
      <c r="Q143" s="105">
        <v>6155</v>
      </c>
    </row>
    <row r="144" spans="1:17" ht="15" customHeight="1" x14ac:dyDescent="0.25">
      <c r="A144" s="49" t="s">
        <v>1981</v>
      </c>
      <c r="B144" s="50" t="s">
        <v>1805</v>
      </c>
      <c r="C144" s="50" t="s">
        <v>51</v>
      </c>
      <c r="D144" s="50" t="s">
        <v>131</v>
      </c>
      <c r="E144" s="50">
        <v>44</v>
      </c>
      <c r="F144" s="50" t="s">
        <v>331</v>
      </c>
      <c r="G144" s="50" t="s">
        <v>331</v>
      </c>
      <c r="H144" s="50">
        <v>0.8</v>
      </c>
      <c r="I144" s="50">
        <v>0.7</v>
      </c>
      <c r="J144" s="50">
        <v>0</v>
      </c>
      <c r="K144" s="50" t="s">
        <v>1823</v>
      </c>
      <c r="L144" s="50" t="s">
        <v>211</v>
      </c>
      <c r="M144" s="50" t="s">
        <v>1765</v>
      </c>
      <c r="N144" s="50">
        <v>25.1</v>
      </c>
      <c r="O144" s="104" t="s">
        <v>1761</v>
      </c>
      <c r="P144" s="50" t="s">
        <v>1780</v>
      </c>
      <c r="Q144" s="105">
        <v>6996</v>
      </c>
    </row>
    <row r="145" spans="1:17" ht="15" customHeight="1" x14ac:dyDescent="0.25">
      <c r="A145" s="49" t="s">
        <v>1982</v>
      </c>
      <c r="B145" s="50" t="s">
        <v>1825</v>
      </c>
      <c r="C145" s="50" t="s">
        <v>103</v>
      </c>
      <c r="D145" s="50" t="s">
        <v>72</v>
      </c>
      <c r="E145" s="50">
        <v>64</v>
      </c>
      <c r="F145" s="50" t="s">
        <v>1286</v>
      </c>
      <c r="G145" s="50" t="s">
        <v>1286</v>
      </c>
      <c r="H145" s="50">
        <v>0.8</v>
      </c>
      <c r="I145" s="50">
        <v>0.8</v>
      </c>
      <c r="J145" s="50">
        <v>0</v>
      </c>
      <c r="K145" s="50" t="s">
        <v>1769</v>
      </c>
      <c r="L145" s="50" t="s">
        <v>246</v>
      </c>
      <c r="M145" s="50" t="s">
        <v>1784</v>
      </c>
      <c r="N145" s="50">
        <v>13.5</v>
      </c>
      <c r="O145" s="104" t="s">
        <v>1761</v>
      </c>
      <c r="P145" s="50" t="s">
        <v>1780</v>
      </c>
      <c r="Q145" s="105">
        <v>12973</v>
      </c>
    </row>
    <row r="146" spans="1:17" ht="15" customHeight="1" x14ac:dyDescent="0.25">
      <c r="A146" s="49" t="s">
        <v>1983</v>
      </c>
      <c r="B146" s="50" t="s">
        <v>1792</v>
      </c>
      <c r="C146" s="50" t="s">
        <v>51</v>
      </c>
      <c r="D146" s="50" t="s">
        <v>86</v>
      </c>
      <c r="E146" s="50">
        <v>165</v>
      </c>
      <c r="F146" s="50" t="s">
        <v>1067</v>
      </c>
      <c r="G146" s="50" t="s">
        <v>1457</v>
      </c>
      <c r="H146" s="50">
        <v>2.9</v>
      </c>
      <c r="I146" s="50">
        <v>3.1</v>
      </c>
      <c r="J146" s="50">
        <v>0.2</v>
      </c>
      <c r="K146" s="50" t="s">
        <v>1834</v>
      </c>
      <c r="L146" s="50" t="s">
        <v>279</v>
      </c>
      <c r="M146" s="50" t="s">
        <v>1784</v>
      </c>
      <c r="N146" s="50">
        <v>16.600000000000001</v>
      </c>
      <c r="O146" s="104" t="s">
        <v>1761</v>
      </c>
      <c r="P146" s="50" t="s">
        <v>1808</v>
      </c>
      <c r="Q146" s="105">
        <v>40373</v>
      </c>
    </row>
    <row r="147" spans="1:17" ht="15" customHeight="1" x14ac:dyDescent="0.25">
      <c r="A147" s="49" t="s">
        <v>1984</v>
      </c>
      <c r="B147" s="50" t="s">
        <v>1825</v>
      </c>
      <c r="C147" s="50" t="s">
        <v>103</v>
      </c>
      <c r="D147" s="50" t="s">
        <v>72</v>
      </c>
      <c r="E147" s="50">
        <v>64</v>
      </c>
      <c r="F147" s="50" t="s">
        <v>988</v>
      </c>
      <c r="G147" s="50" t="s">
        <v>1064</v>
      </c>
      <c r="H147" s="50">
        <v>1</v>
      </c>
      <c r="I147" s="50">
        <v>0.9</v>
      </c>
      <c r="J147" s="50">
        <v>0</v>
      </c>
      <c r="K147" s="50" t="s">
        <v>1841</v>
      </c>
      <c r="L147" s="50" t="s">
        <v>115</v>
      </c>
      <c r="M147" s="50" t="s">
        <v>1790</v>
      </c>
      <c r="N147" s="50">
        <v>12.8</v>
      </c>
      <c r="O147" s="104" t="s">
        <v>1761</v>
      </c>
      <c r="P147" s="50" t="s">
        <v>1780</v>
      </c>
      <c r="Q147" s="105">
        <v>8679</v>
      </c>
    </row>
    <row r="148" spans="1:17" ht="15" customHeight="1" x14ac:dyDescent="0.25">
      <c r="A148" s="49" t="s">
        <v>1985</v>
      </c>
      <c r="B148" s="50" t="s">
        <v>1786</v>
      </c>
      <c r="C148" s="50" t="s">
        <v>131</v>
      </c>
      <c r="D148" s="50" t="s">
        <v>119</v>
      </c>
      <c r="E148" s="50">
        <v>360</v>
      </c>
      <c r="F148" s="50" t="s">
        <v>1494</v>
      </c>
      <c r="G148" s="50"/>
      <c r="H148" s="50">
        <v>7.1</v>
      </c>
      <c r="I148" s="50"/>
      <c r="J148" s="50">
        <v>0</v>
      </c>
      <c r="K148" s="50" t="s">
        <v>1754</v>
      </c>
      <c r="L148" s="50" t="s">
        <v>258</v>
      </c>
      <c r="M148" s="50" t="s">
        <v>1755</v>
      </c>
      <c r="N148" s="50">
        <v>13.6</v>
      </c>
      <c r="O148" s="104" t="s">
        <v>700</v>
      </c>
      <c r="P148" s="50"/>
      <c r="Q148" s="105">
        <v>59801</v>
      </c>
    </row>
    <row r="149" spans="1:17" ht="15" customHeight="1" x14ac:dyDescent="0.25">
      <c r="A149" s="49" t="s">
        <v>1986</v>
      </c>
      <c r="B149" s="50" t="s">
        <v>1792</v>
      </c>
      <c r="C149" s="50" t="s">
        <v>51</v>
      </c>
      <c r="D149" s="50" t="s">
        <v>86</v>
      </c>
      <c r="E149" s="50">
        <v>165</v>
      </c>
      <c r="F149" s="50" t="s">
        <v>977</v>
      </c>
      <c r="G149" s="50" t="s">
        <v>1585</v>
      </c>
      <c r="H149" s="50">
        <v>2.8</v>
      </c>
      <c r="I149" s="50">
        <v>3.1</v>
      </c>
      <c r="J149" s="50">
        <v>0.3</v>
      </c>
      <c r="K149" s="50" t="s">
        <v>1807</v>
      </c>
      <c r="L149" s="50" t="s">
        <v>181</v>
      </c>
      <c r="M149" s="50" t="s">
        <v>1755</v>
      </c>
      <c r="N149" s="50">
        <v>25.7</v>
      </c>
      <c r="O149" s="104" t="s">
        <v>1761</v>
      </c>
      <c r="P149" s="50" t="s">
        <v>1775</v>
      </c>
      <c r="Q149" s="105">
        <v>28179</v>
      </c>
    </row>
    <row r="150" spans="1:17" ht="15" customHeight="1" x14ac:dyDescent="0.25">
      <c r="A150" s="49" t="s">
        <v>1987</v>
      </c>
      <c r="B150" s="50" t="s">
        <v>1768</v>
      </c>
      <c r="C150" s="50" t="s">
        <v>51</v>
      </c>
      <c r="D150" s="50" t="s">
        <v>103</v>
      </c>
      <c r="E150" s="50">
        <v>350</v>
      </c>
      <c r="F150" s="50" t="s">
        <v>396</v>
      </c>
      <c r="G150" s="50"/>
      <c r="H150" s="50">
        <v>5.8</v>
      </c>
      <c r="I150" s="50"/>
      <c r="J150" s="50">
        <v>0</v>
      </c>
      <c r="K150" s="50" t="s">
        <v>1841</v>
      </c>
      <c r="L150" s="50" t="s">
        <v>234</v>
      </c>
      <c r="M150" s="50" t="s">
        <v>1760</v>
      </c>
      <c r="N150" s="50">
        <v>14.1</v>
      </c>
      <c r="O150" s="104" t="s">
        <v>700</v>
      </c>
      <c r="P150" s="50"/>
      <c r="Q150" s="105">
        <v>48372</v>
      </c>
    </row>
    <row r="151" spans="1:17" ht="15" customHeight="1" x14ac:dyDescent="0.25">
      <c r="A151" s="49" t="s">
        <v>1988</v>
      </c>
      <c r="B151" s="50" t="s">
        <v>1758</v>
      </c>
      <c r="C151" s="50" t="s">
        <v>86</v>
      </c>
      <c r="D151" s="50" t="s">
        <v>51</v>
      </c>
      <c r="E151" s="50">
        <v>165</v>
      </c>
      <c r="F151" s="50" t="s">
        <v>1529</v>
      </c>
      <c r="G151" s="50" t="s">
        <v>1486</v>
      </c>
      <c r="H151" s="50">
        <v>2.1</v>
      </c>
      <c r="I151" s="50">
        <v>2.1</v>
      </c>
      <c r="J151" s="50">
        <v>0</v>
      </c>
      <c r="K151" s="50" t="s">
        <v>1754</v>
      </c>
      <c r="L151" s="50" t="s">
        <v>213</v>
      </c>
      <c r="M151" s="50" t="s">
        <v>1790</v>
      </c>
      <c r="N151" s="50">
        <v>28.9</v>
      </c>
      <c r="O151" s="104" t="s">
        <v>1761</v>
      </c>
      <c r="P151" s="50" t="s">
        <v>1780</v>
      </c>
      <c r="Q151" s="105">
        <v>39693</v>
      </c>
    </row>
    <row r="152" spans="1:17" ht="15" customHeight="1" x14ac:dyDescent="0.25">
      <c r="A152" s="49" t="s">
        <v>1989</v>
      </c>
      <c r="B152" s="50" t="s">
        <v>1758</v>
      </c>
      <c r="C152" s="50" t="s">
        <v>86</v>
      </c>
      <c r="D152" s="50" t="s">
        <v>51</v>
      </c>
      <c r="E152" s="50">
        <v>165</v>
      </c>
      <c r="F152" s="50" t="s">
        <v>1181</v>
      </c>
      <c r="G152" s="50" t="s">
        <v>382</v>
      </c>
      <c r="H152" s="50">
        <v>2.8</v>
      </c>
      <c r="I152" s="50">
        <v>2.6</v>
      </c>
      <c r="J152" s="50">
        <v>0</v>
      </c>
      <c r="K152" s="50" t="s">
        <v>1783</v>
      </c>
      <c r="L152" s="50" t="s">
        <v>179</v>
      </c>
      <c r="M152" s="50" t="s">
        <v>1755</v>
      </c>
      <c r="N152" s="50">
        <v>18.7</v>
      </c>
      <c r="O152" s="104" t="s">
        <v>1761</v>
      </c>
      <c r="P152" s="50" t="s">
        <v>1780</v>
      </c>
      <c r="Q152" s="105">
        <v>23214</v>
      </c>
    </row>
    <row r="153" spans="1:17" ht="15" customHeight="1" x14ac:dyDescent="0.25">
      <c r="A153" s="49" t="s">
        <v>1990</v>
      </c>
      <c r="B153" s="50" t="s">
        <v>1768</v>
      </c>
      <c r="C153" s="50" t="s">
        <v>51</v>
      </c>
      <c r="D153" s="50" t="s">
        <v>103</v>
      </c>
      <c r="E153" s="50">
        <v>350</v>
      </c>
      <c r="F153" s="50" t="s">
        <v>1517</v>
      </c>
      <c r="G153" s="50" t="s">
        <v>1517</v>
      </c>
      <c r="H153" s="50">
        <v>5.4</v>
      </c>
      <c r="I153" s="50">
        <v>5.6</v>
      </c>
      <c r="J153" s="50">
        <v>0.2</v>
      </c>
      <c r="K153" s="50" t="s">
        <v>1774</v>
      </c>
      <c r="L153" s="50" t="s">
        <v>149</v>
      </c>
      <c r="M153" s="50" t="s">
        <v>1770</v>
      </c>
      <c r="N153" s="50">
        <v>24.4</v>
      </c>
      <c r="O153" s="104" t="s">
        <v>1761</v>
      </c>
      <c r="P153" s="50" t="s">
        <v>1820</v>
      </c>
      <c r="Q153" s="105">
        <v>76390</v>
      </c>
    </row>
    <row r="154" spans="1:17" ht="15" customHeight="1" x14ac:dyDescent="0.25">
      <c r="A154" s="49" t="s">
        <v>1991</v>
      </c>
      <c r="B154" s="50" t="s">
        <v>1786</v>
      </c>
      <c r="C154" s="50" t="s">
        <v>131</v>
      </c>
      <c r="D154" s="50" t="s">
        <v>119</v>
      </c>
      <c r="E154" s="50">
        <v>360</v>
      </c>
      <c r="F154" s="50" t="s">
        <v>967</v>
      </c>
      <c r="G154" s="50" t="s">
        <v>967</v>
      </c>
      <c r="H154" s="50">
        <v>6.3</v>
      </c>
      <c r="I154" s="50">
        <v>8.1</v>
      </c>
      <c r="J154" s="50">
        <v>1.8</v>
      </c>
      <c r="K154" s="50" t="s">
        <v>1779</v>
      </c>
      <c r="L154" s="50" t="s">
        <v>281</v>
      </c>
      <c r="M154" s="50" t="s">
        <v>1765</v>
      </c>
      <c r="N154" s="50">
        <v>13.5</v>
      </c>
      <c r="O154" s="104" t="s">
        <v>1761</v>
      </c>
      <c r="P154" s="50" t="s">
        <v>1798</v>
      </c>
      <c r="Q154" s="105">
        <v>58230</v>
      </c>
    </row>
    <row r="155" spans="1:17" ht="15" customHeight="1" x14ac:dyDescent="0.25">
      <c r="A155" s="49" t="s">
        <v>1992</v>
      </c>
      <c r="B155" s="50" t="s">
        <v>1819</v>
      </c>
      <c r="C155" s="50" t="s">
        <v>103</v>
      </c>
      <c r="D155" s="50" t="s">
        <v>51</v>
      </c>
      <c r="E155" s="50">
        <v>350</v>
      </c>
      <c r="F155" s="50" t="s">
        <v>1486</v>
      </c>
      <c r="G155" s="50" t="s">
        <v>1486</v>
      </c>
      <c r="H155" s="50">
        <v>4.4000000000000004</v>
      </c>
      <c r="I155" s="50">
        <v>5.8</v>
      </c>
      <c r="J155" s="50">
        <v>1.4</v>
      </c>
      <c r="K155" s="50" t="s">
        <v>1783</v>
      </c>
      <c r="L155" s="50" t="s">
        <v>232</v>
      </c>
      <c r="M155" s="50" t="s">
        <v>731</v>
      </c>
      <c r="N155" s="50">
        <v>6.3</v>
      </c>
      <c r="O155" s="104" t="s">
        <v>1761</v>
      </c>
      <c r="P155" s="50" t="s">
        <v>1798</v>
      </c>
      <c r="Q155" s="105">
        <v>75768</v>
      </c>
    </row>
    <row r="156" spans="1:17" ht="15" customHeight="1" x14ac:dyDescent="0.25">
      <c r="A156" s="49" t="s">
        <v>1993</v>
      </c>
      <c r="B156" s="50" t="s">
        <v>1786</v>
      </c>
      <c r="C156" s="50" t="s">
        <v>131</v>
      </c>
      <c r="D156" s="50" t="s">
        <v>119</v>
      </c>
      <c r="E156" s="50">
        <v>360</v>
      </c>
      <c r="F156" s="50" t="s">
        <v>1861</v>
      </c>
      <c r="G156" s="50" t="s">
        <v>1294</v>
      </c>
      <c r="H156" s="50">
        <v>7.1</v>
      </c>
      <c r="I156" s="50">
        <v>6.4</v>
      </c>
      <c r="J156" s="50">
        <v>0</v>
      </c>
      <c r="K156" s="50" t="s">
        <v>1754</v>
      </c>
      <c r="L156" s="50" t="s">
        <v>111</v>
      </c>
      <c r="M156" s="50" t="s">
        <v>731</v>
      </c>
      <c r="N156" s="50">
        <v>1.5</v>
      </c>
      <c r="O156" s="104" t="s">
        <v>1761</v>
      </c>
      <c r="P156" s="50" t="s">
        <v>1780</v>
      </c>
      <c r="Q156" s="105">
        <v>69796</v>
      </c>
    </row>
    <row r="157" spans="1:17" ht="15" customHeight="1" x14ac:dyDescent="0.25">
      <c r="A157" s="49" t="s">
        <v>1994</v>
      </c>
      <c r="B157" s="50" t="s">
        <v>1777</v>
      </c>
      <c r="C157" s="50" t="s">
        <v>68</v>
      </c>
      <c r="D157" s="50" t="s">
        <v>86</v>
      </c>
      <c r="E157" s="50">
        <v>135</v>
      </c>
      <c r="F157" s="50" t="s">
        <v>1019</v>
      </c>
      <c r="G157" s="50" t="s">
        <v>858</v>
      </c>
      <c r="H157" s="50">
        <v>1.9</v>
      </c>
      <c r="I157" s="50">
        <v>1.9</v>
      </c>
      <c r="J157" s="50">
        <v>0</v>
      </c>
      <c r="K157" s="50" t="s">
        <v>1794</v>
      </c>
      <c r="L157" s="50" t="s">
        <v>276</v>
      </c>
      <c r="M157" s="50" t="s">
        <v>1784</v>
      </c>
      <c r="N157" s="50">
        <v>16.100000000000001</v>
      </c>
      <c r="O157" s="104" t="s">
        <v>1761</v>
      </c>
      <c r="P157" s="50" t="s">
        <v>1780</v>
      </c>
      <c r="Q157" s="105">
        <v>24990</v>
      </c>
    </row>
    <row r="158" spans="1:17" ht="15" customHeight="1" x14ac:dyDescent="0.25">
      <c r="A158" s="49" t="s">
        <v>1995</v>
      </c>
      <c r="B158" s="50" t="s">
        <v>1764</v>
      </c>
      <c r="C158" s="50" t="s">
        <v>51</v>
      </c>
      <c r="D158" s="50" t="s">
        <v>62</v>
      </c>
      <c r="E158" s="50">
        <v>160</v>
      </c>
      <c r="F158" s="50" t="s">
        <v>1503</v>
      </c>
      <c r="G158" s="50"/>
      <c r="H158" s="50">
        <v>2.5</v>
      </c>
      <c r="I158" s="50"/>
      <c r="J158" s="50">
        <v>0</v>
      </c>
      <c r="K158" s="50" t="s">
        <v>1836</v>
      </c>
      <c r="L158" s="50" t="s">
        <v>104</v>
      </c>
      <c r="M158" s="50" t="s">
        <v>1755</v>
      </c>
      <c r="N158" s="50">
        <v>2.8</v>
      </c>
      <c r="O158" s="50" t="s">
        <v>1756</v>
      </c>
      <c r="P158" s="50"/>
      <c r="Q158" s="105">
        <v>25403</v>
      </c>
    </row>
    <row r="159" spans="1:17" ht="15" customHeight="1" x14ac:dyDescent="0.25">
      <c r="A159" s="49" t="s">
        <v>1996</v>
      </c>
      <c r="B159" s="50" t="s">
        <v>1768</v>
      </c>
      <c r="C159" s="50" t="s">
        <v>51</v>
      </c>
      <c r="D159" s="50" t="s">
        <v>103</v>
      </c>
      <c r="E159" s="50">
        <v>350</v>
      </c>
      <c r="F159" s="50" t="s">
        <v>1182</v>
      </c>
      <c r="G159" s="50" t="s">
        <v>1082</v>
      </c>
      <c r="H159" s="50">
        <v>5.0999999999999996</v>
      </c>
      <c r="I159" s="50">
        <v>7.1</v>
      </c>
      <c r="J159" s="50">
        <v>2</v>
      </c>
      <c r="K159" s="50" t="s">
        <v>1797</v>
      </c>
      <c r="L159" s="50" t="s">
        <v>74</v>
      </c>
      <c r="M159" s="50" t="s">
        <v>731</v>
      </c>
      <c r="N159" s="50">
        <v>24.7</v>
      </c>
      <c r="O159" s="104" t="s">
        <v>1761</v>
      </c>
      <c r="P159" s="50" t="s">
        <v>1762</v>
      </c>
      <c r="Q159" s="105">
        <v>45092</v>
      </c>
    </row>
    <row r="160" spans="1:17" ht="15" customHeight="1" x14ac:dyDescent="0.25">
      <c r="A160" s="49" t="s">
        <v>1997</v>
      </c>
      <c r="B160" s="50" t="s">
        <v>1777</v>
      </c>
      <c r="C160" s="50" t="s">
        <v>68</v>
      </c>
      <c r="D160" s="50" t="s">
        <v>86</v>
      </c>
      <c r="E160" s="50">
        <v>135</v>
      </c>
      <c r="F160" s="50" t="s">
        <v>1704</v>
      </c>
      <c r="G160" s="50" t="s">
        <v>1208</v>
      </c>
      <c r="H160" s="50">
        <v>2</v>
      </c>
      <c r="I160" s="50">
        <v>1.9</v>
      </c>
      <c r="J160" s="50">
        <v>0</v>
      </c>
      <c r="K160" s="50" t="s">
        <v>1759</v>
      </c>
      <c r="L160" s="50" t="s">
        <v>222</v>
      </c>
      <c r="M160" s="50" t="s">
        <v>1755</v>
      </c>
      <c r="N160" s="50">
        <v>15.3</v>
      </c>
      <c r="O160" s="104" t="s">
        <v>1761</v>
      </c>
      <c r="P160" s="50" t="s">
        <v>1780</v>
      </c>
      <c r="Q160" s="105">
        <v>31851</v>
      </c>
    </row>
    <row r="161" spans="1:17" ht="15" customHeight="1" x14ac:dyDescent="0.25">
      <c r="A161" s="49" t="s">
        <v>1998</v>
      </c>
      <c r="B161" s="50" t="s">
        <v>1772</v>
      </c>
      <c r="C161" s="50" t="s">
        <v>51</v>
      </c>
      <c r="D161" s="50" t="s">
        <v>91</v>
      </c>
      <c r="E161" s="50">
        <v>64</v>
      </c>
      <c r="F161" s="50" t="s">
        <v>897</v>
      </c>
      <c r="G161" s="50"/>
      <c r="H161" s="50">
        <v>1.3</v>
      </c>
      <c r="I161" s="50"/>
      <c r="J161" s="50">
        <v>0</v>
      </c>
      <c r="K161" s="50" t="s">
        <v>1797</v>
      </c>
      <c r="L161" s="50" t="s">
        <v>197</v>
      </c>
      <c r="M161" s="50" t="s">
        <v>1760</v>
      </c>
      <c r="N161" s="50">
        <v>6.4</v>
      </c>
      <c r="O161" s="104" t="s">
        <v>700</v>
      </c>
      <c r="P161" s="50"/>
      <c r="Q161" s="105">
        <v>8174</v>
      </c>
    </row>
    <row r="162" spans="1:17" ht="15" customHeight="1" x14ac:dyDescent="0.25">
      <c r="A162" s="49" t="s">
        <v>1999</v>
      </c>
      <c r="B162" s="50" t="s">
        <v>1822</v>
      </c>
      <c r="C162" s="50" t="s">
        <v>96</v>
      </c>
      <c r="D162" s="50" t="s">
        <v>83</v>
      </c>
      <c r="E162" s="50">
        <v>120</v>
      </c>
      <c r="F162" s="50" t="s">
        <v>1118</v>
      </c>
      <c r="G162" s="50"/>
      <c r="H162" s="50">
        <v>2.1</v>
      </c>
      <c r="I162" s="50"/>
      <c r="J162" s="50">
        <v>0</v>
      </c>
      <c r="K162" s="50" t="s">
        <v>1823</v>
      </c>
      <c r="L162" s="50" t="s">
        <v>234</v>
      </c>
      <c r="M162" s="50" t="s">
        <v>1755</v>
      </c>
      <c r="N162" s="50">
        <v>21.2</v>
      </c>
      <c r="O162" s="50" t="s">
        <v>1756</v>
      </c>
      <c r="P162" s="50"/>
      <c r="Q162" s="105">
        <v>14952</v>
      </c>
    </row>
    <row r="163" spans="1:17" ht="15" customHeight="1" x14ac:dyDescent="0.25">
      <c r="A163" s="49" t="s">
        <v>2000</v>
      </c>
      <c r="B163" s="50" t="s">
        <v>1768</v>
      </c>
      <c r="C163" s="50" t="s">
        <v>51</v>
      </c>
      <c r="D163" s="50" t="s">
        <v>103</v>
      </c>
      <c r="E163" s="50">
        <v>350</v>
      </c>
      <c r="F163" s="50" t="s">
        <v>803</v>
      </c>
      <c r="G163" s="50" t="s">
        <v>803</v>
      </c>
      <c r="H163" s="50">
        <v>5.0999999999999996</v>
      </c>
      <c r="I163" s="50">
        <v>4.7</v>
      </c>
      <c r="J163" s="50">
        <v>0</v>
      </c>
      <c r="K163" s="50" t="s">
        <v>1823</v>
      </c>
      <c r="L163" s="50" t="s">
        <v>231</v>
      </c>
      <c r="M163" s="50" t="s">
        <v>1790</v>
      </c>
      <c r="N163" s="50">
        <v>28.4</v>
      </c>
      <c r="O163" s="104" t="s">
        <v>1761</v>
      </c>
      <c r="P163" s="50" t="s">
        <v>1780</v>
      </c>
      <c r="Q163" s="105">
        <v>64595</v>
      </c>
    </row>
    <row r="164" spans="1:17" ht="15" customHeight="1" x14ac:dyDescent="0.25">
      <c r="A164" s="49" t="s">
        <v>2001</v>
      </c>
      <c r="B164" s="50" t="s">
        <v>1822</v>
      </c>
      <c r="C164" s="50" t="s">
        <v>96</v>
      </c>
      <c r="D164" s="50" t="s">
        <v>83</v>
      </c>
      <c r="E164" s="50">
        <v>120</v>
      </c>
      <c r="F164" s="50" t="s">
        <v>1897</v>
      </c>
      <c r="G164" s="50" t="s">
        <v>1897</v>
      </c>
      <c r="H164" s="50">
        <v>2</v>
      </c>
      <c r="I164" s="50">
        <v>2.7</v>
      </c>
      <c r="J164" s="50">
        <v>0.7</v>
      </c>
      <c r="K164" s="50" t="s">
        <v>1817</v>
      </c>
      <c r="L164" s="50" t="s">
        <v>148</v>
      </c>
      <c r="M164" s="50" t="s">
        <v>1765</v>
      </c>
      <c r="N164" s="50">
        <v>28</v>
      </c>
      <c r="O164" s="104" t="s">
        <v>1761</v>
      </c>
      <c r="P164" s="50" t="s">
        <v>1775</v>
      </c>
      <c r="Q164" s="105">
        <v>23887</v>
      </c>
    </row>
    <row r="165" spans="1:17" ht="15" customHeight="1" x14ac:dyDescent="0.25">
      <c r="A165" s="49" t="s">
        <v>2002</v>
      </c>
      <c r="B165" s="50" t="s">
        <v>1786</v>
      </c>
      <c r="C165" s="50" t="s">
        <v>131</v>
      </c>
      <c r="D165" s="50" t="s">
        <v>119</v>
      </c>
      <c r="E165" s="50">
        <v>360</v>
      </c>
      <c r="F165" s="50" t="s">
        <v>1013</v>
      </c>
      <c r="G165" s="50" t="s">
        <v>1013</v>
      </c>
      <c r="H165" s="50">
        <v>7</v>
      </c>
      <c r="I165" s="50">
        <v>8.6</v>
      </c>
      <c r="J165" s="50">
        <v>1.6</v>
      </c>
      <c r="K165" s="50" t="s">
        <v>1774</v>
      </c>
      <c r="L165" s="50" t="s">
        <v>186</v>
      </c>
      <c r="M165" s="50" t="s">
        <v>1784</v>
      </c>
      <c r="N165" s="50">
        <v>4.2</v>
      </c>
      <c r="O165" s="104" t="s">
        <v>1761</v>
      </c>
      <c r="P165" s="50" t="s">
        <v>1820</v>
      </c>
      <c r="Q165" s="105">
        <v>48722</v>
      </c>
    </row>
    <row r="166" spans="1:17" ht="15" customHeight="1" x14ac:dyDescent="0.25">
      <c r="A166" s="49" t="s">
        <v>2003</v>
      </c>
      <c r="B166" s="50" t="s">
        <v>1772</v>
      </c>
      <c r="C166" s="50" t="s">
        <v>51</v>
      </c>
      <c r="D166" s="50" t="s">
        <v>91</v>
      </c>
      <c r="E166" s="50">
        <v>64</v>
      </c>
      <c r="F166" s="50" t="s">
        <v>1224</v>
      </c>
      <c r="G166" s="50" t="s">
        <v>1075</v>
      </c>
      <c r="H166" s="50">
        <v>1.1000000000000001</v>
      </c>
      <c r="I166" s="50">
        <v>1.1000000000000001</v>
      </c>
      <c r="J166" s="50">
        <v>0</v>
      </c>
      <c r="K166" s="50" t="s">
        <v>1794</v>
      </c>
      <c r="L166" s="50" t="s">
        <v>97</v>
      </c>
      <c r="M166" s="50" t="s">
        <v>731</v>
      </c>
      <c r="N166" s="50">
        <v>7.3</v>
      </c>
      <c r="O166" s="104" t="s">
        <v>1761</v>
      </c>
      <c r="P166" s="50" t="s">
        <v>1780</v>
      </c>
      <c r="Q166" s="105">
        <v>13941</v>
      </c>
    </row>
    <row r="167" spans="1:17" ht="15" customHeight="1" x14ac:dyDescent="0.25">
      <c r="A167" s="49" t="s">
        <v>2004</v>
      </c>
      <c r="B167" s="50" t="s">
        <v>1758</v>
      </c>
      <c r="C167" s="50" t="s">
        <v>86</v>
      </c>
      <c r="D167" s="50" t="s">
        <v>51</v>
      </c>
      <c r="E167" s="50">
        <v>165</v>
      </c>
      <c r="F167" s="50" t="s">
        <v>1572</v>
      </c>
      <c r="G167" s="50" t="s">
        <v>2005</v>
      </c>
      <c r="H167" s="50">
        <v>2.2999999999999998</v>
      </c>
      <c r="I167" s="50">
        <v>2.5</v>
      </c>
      <c r="J167" s="50">
        <v>0.2</v>
      </c>
      <c r="K167" s="50" t="s">
        <v>1817</v>
      </c>
      <c r="L167" s="50" t="s">
        <v>97</v>
      </c>
      <c r="M167" s="50" t="s">
        <v>1765</v>
      </c>
      <c r="N167" s="50">
        <v>2.2000000000000002</v>
      </c>
      <c r="O167" s="104" t="s">
        <v>1761</v>
      </c>
      <c r="P167" s="50" t="s">
        <v>1762</v>
      </c>
      <c r="Q167" s="105">
        <v>32722</v>
      </c>
    </row>
    <row r="168" spans="1:17" ht="15" customHeight="1" x14ac:dyDescent="0.25">
      <c r="A168" s="49" t="s">
        <v>2006</v>
      </c>
      <c r="B168" s="50" t="s">
        <v>1805</v>
      </c>
      <c r="C168" s="50" t="s">
        <v>51</v>
      </c>
      <c r="D168" s="50" t="s">
        <v>131</v>
      </c>
      <c r="E168" s="50">
        <v>44</v>
      </c>
      <c r="F168" s="50" t="s">
        <v>1208</v>
      </c>
      <c r="G168" s="50" t="s">
        <v>1208</v>
      </c>
      <c r="H168" s="50">
        <v>0.6</v>
      </c>
      <c r="I168" s="50">
        <v>0.9</v>
      </c>
      <c r="J168" s="50">
        <v>0.3</v>
      </c>
      <c r="K168" s="50" t="s">
        <v>1803</v>
      </c>
      <c r="L168" s="50" t="s">
        <v>258</v>
      </c>
      <c r="M168" s="50" t="s">
        <v>1765</v>
      </c>
      <c r="N168" s="50">
        <v>19.899999999999999</v>
      </c>
      <c r="O168" s="104" t="s">
        <v>1761</v>
      </c>
      <c r="P168" s="50" t="s">
        <v>1820</v>
      </c>
      <c r="Q168" s="105">
        <v>9314</v>
      </c>
    </row>
    <row r="169" spans="1:17" ht="15" customHeight="1" x14ac:dyDescent="0.25">
      <c r="A169" s="49" t="s">
        <v>2007</v>
      </c>
      <c r="B169" s="50" t="s">
        <v>1777</v>
      </c>
      <c r="C169" s="50" t="s">
        <v>68</v>
      </c>
      <c r="D169" s="50" t="s">
        <v>86</v>
      </c>
      <c r="E169" s="50">
        <v>135</v>
      </c>
      <c r="F169" s="50" t="s">
        <v>1693</v>
      </c>
      <c r="G169" s="50" t="s">
        <v>699</v>
      </c>
      <c r="H169" s="50">
        <v>1.9</v>
      </c>
      <c r="I169" s="50">
        <v>2.2999999999999998</v>
      </c>
      <c r="J169" s="50">
        <v>0.4</v>
      </c>
      <c r="K169" s="50" t="s">
        <v>1797</v>
      </c>
      <c r="L169" s="50" t="s">
        <v>289</v>
      </c>
      <c r="M169" s="50" t="s">
        <v>1755</v>
      </c>
      <c r="N169" s="50">
        <v>9.1</v>
      </c>
      <c r="O169" s="104" t="s">
        <v>1761</v>
      </c>
      <c r="P169" s="50" t="s">
        <v>1762</v>
      </c>
      <c r="Q169" s="105">
        <v>28446</v>
      </c>
    </row>
    <row r="170" spans="1:17" ht="15" customHeight="1" x14ac:dyDescent="0.25">
      <c r="A170" s="49" t="s">
        <v>2008</v>
      </c>
      <c r="B170" s="50" t="s">
        <v>1855</v>
      </c>
      <c r="C170" s="50" t="s">
        <v>68</v>
      </c>
      <c r="D170" s="50" t="s">
        <v>93</v>
      </c>
      <c r="E170" s="50">
        <v>67</v>
      </c>
      <c r="F170" s="50" t="s">
        <v>2009</v>
      </c>
      <c r="G170" s="50" t="s">
        <v>982</v>
      </c>
      <c r="H170" s="50">
        <v>0.9</v>
      </c>
      <c r="I170" s="50">
        <v>0.9</v>
      </c>
      <c r="J170" s="50">
        <v>0</v>
      </c>
      <c r="K170" s="50" t="s">
        <v>1841</v>
      </c>
      <c r="L170" s="50" t="s">
        <v>249</v>
      </c>
      <c r="M170" s="50" t="s">
        <v>1790</v>
      </c>
      <c r="N170" s="50">
        <v>8.8000000000000007</v>
      </c>
      <c r="O170" s="104" t="s">
        <v>1761</v>
      </c>
      <c r="P170" s="50" t="s">
        <v>1780</v>
      </c>
      <c r="Q170" s="105">
        <v>10048</v>
      </c>
    </row>
    <row r="171" spans="1:17" ht="15" customHeight="1" x14ac:dyDescent="0.25">
      <c r="A171" s="49" t="s">
        <v>2010</v>
      </c>
      <c r="B171" s="50" t="s">
        <v>1819</v>
      </c>
      <c r="C171" s="50" t="s">
        <v>103</v>
      </c>
      <c r="D171" s="50" t="s">
        <v>51</v>
      </c>
      <c r="E171" s="50">
        <v>350</v>
      </c>
      <c r="F171" s="50" t="s">
        <v>1028</v>
      </c>
      <c r="G171" s="50" t="s">
        <v>2011</v>
      </c>
      <c r="H171" s="50">
        <v>4.9000000000000004</v>
      </c>
      <c r="I171" s="50">
        <v>6.3</v>
      </c>
      <c r="J171" s="50">
        <v>1.4</v>
      </c>
      <c r="K171" s="50" t="s">
        <v>1774</v>
      </c>
      <c r="L171" s="50" t="s">
        <v>125</v>
      </c>
      <c r="M171" s="50" t="s">
        <v>1765</v>
      </c>
      <c r="N171" s="50">
        <v>29.3</v>
      </c>
      <c r="O171" s="104" t="s">
        <v>1761</v>
      </c>
      <c r="P171" s="50" t="s">
        <v>1808</v>
      </c>
      <c r="Q171" s="105">
        <v>42969</v>
      </c>
    </row>
    <row r="172" spans="1:17" ht="15" customHeight="1" x14ac:dyDescent="0.25">
      <c r="A172" s="49" t="s">
        <v>2012</v>
      </c>
      <c r="B172" s="50" t="s">
        <v>1777</v>
      </c>
      <c r="C172" s="50" t="s">
        <v>68</v>
      </c>
      <c r="D172" s="50" t="s">
        <v>86</v>
      </c>
      <c r="E172" s="50">
        <v>135</v>
      </c>
      <c r="F172" s="50" t="s">
        <v>1541</v>
      </c>
      <c r="G172" s="50" t="s">
        <v>319</v>
      </c>
      <c r="H172" s="50">
        <v>2</v>
      </c>
      <c r="I172" s="50">
        <v>2.4</v>
      </c>
      <c r="J172" s="50">
        <v>0.4</v>
      </c>
      <c r="K172" s="50" t="s">
        <v>1769</v>
      </c>
      <c r="L172" s="50" t="s">
        <v>108</v>
      </c>
      <c r="M172" s="50" t="s">
        <v>1765</v>
      </c>
      <c r="N172" s="50">
        <v>8.6999999999999993</v>
      </c>
      <c r="O172" s="104" t="s">
        <v>1761</v>
      </c>
      <c r="P172" s="50" t="s">
        <v>1820</v>
      </c>
      <c r="Q172" s="105">
        <v>23993</v>
      </c>
    </row>
    <row r="173" spans="1:17" ht="15" customHeight="1" x14ac:dyDescent="0.25">
      <c r="A173" s="49" t="s">
        <v>2013</v>
      </c>
      <c r="B173" s="50" t="s">
        <v>1822</v>
      </c>
      <c r="C173" s="50" t="s">
        <v>96</v>
      </c>
      <c r="D173" s="50" t="s">
        <v>83</v>
      </c>
      <c r="E173" s="50">
        <v>120</v>
      </c>
      <c r="F173" s="50" t="s">
        <v>1241</v>
      </c>
      <c r="G173" s="50" t="s">
        <v>1241</v>
      </c>
      <c r="H173" s="50">
        <v>1.7</v>
      </c>
      <c r="I173" s="50">
        <v>1.9</v>
      </c>
      <c r="J173" s="50">
        <v>0.2</v>
      </c>
      <c r="K173" s="50" t="s">
        <v>1834</v>
      </c>
      <c r="L173" s="50" t="s">
        <v>95</v>
      </c>
      <c r="M173" s="50" t="s">
        <v>1784</v>
      </c>
      <c r="N173" s="50">
        <v>9.5</v>
      </c>
      <c r="O173" s="104" t="s">
        <v>1761</v>
      </c>
      <c r="P173" s="50" t="s">
        <v>1775</v>
      </c>
      <c r="Q173" s="105">
        <v>26170</v>
      </c>
    </row>
    <row r="174" spans="1:17" ht="15" customHeight="1" x14ac:dyDescent="0.25">
      <c r="A174" s="49" t="s">
        <v>2014</v>
      </c>
      <c r="B174" s="50" t="s">
        <v>1764</v>
      </c>
      <c r="C174" s="50" t="s">
        <v>51</v>
      </c>
      <c r="D174" s="50" t="s">
        <v>62</v>
      </c>
      <c r="E174" s="50">
        <v>160</v>
      </c>
      <c r="F174" s="50" t="s">
        <v>1578</v>
      </c>
      <c r="G174" s="50"/>
      <c r="H174" s="50">
        <v>2.2000000000000002</v>
      </c>
      <c r="I174" s="50"/>
      <c r="J174" s="50">
        <v>0</v>
      </c>
      <c r="K174" s="50" t="s">
        <v>1797</v>
      </c>
      <c r="L174" s="50" t="s">
        <v>275</v>
      </c>
      <c r="M174" s="50" t="s">
        <v>1770</v>
      </c>
      <c r="N174" s="50">
        <v>18.8</v>
      </c>
      <c r="O174" s="104" t="s">
        <v>700</v>
      </c>
      <c r="P174" s="50"/>
      <c r="Q174" s="105">
        <v>35478</v>
      </c>
    </row>
    <row r="175" spans="1:17" ht="15" customHeight="1" x14ac:dyDescent="0.25">
      <c r="A175" s="49" t="s">
        <v>2015</v>
      </c>
      <c r="B175" s="50" t="s">
        <v>1805</v>
      </c>
      <c r="C175" s="50" t="s">
        <v>51</v>
      </c>
      <c r="D175" s="50" t="s">
        <v>131</v>
      </c>
      <c r="E175" s="50">
        <v>44</v>
      </c>
      <c r="F175" s="50" t="s">
        <v>816</v>
      </c>
      <c r="G175" s="50"/>
      <c r="H175" s="50">
        <v>0.7</v>
      </c>
      <c r="I175" s="50"/>
      <c r="J175" s="50">
        <v>0</v>
      </c>
      <c r="K175" s="50" t="s">
        <v>1841</v>
      </c>
      <c r="L175" s="50" t="s">
        <v>263</v>
      </c>
      <c r="M175" s="50" t="s">
        <v>1760</v>
      </c>
      <c r="N175" s="50">
        <v>25.8</v>
      </c>
      <c r="O175" s="104" t="s">
        <v>700</v>
      </c>
      <c r="P175" s="50"/>
      <c r="Q175" s="105">
        <v>7931</v>
      </c>
    </row>
    <row r="176" spans="1:17" ht="15" customHeight="1" x14ac:dyDescent="0.25">
      <c r="A176" s="49" t="s">
        <v>2016</v>
      </c>
      <c r="B176" s="50" t="s">
        <v>1772</v>
      </c>
      <c r="C176" s="50" t="s">
        <v>51</v>
      </c>
      <c r="D176" s="50" t="s">
        <v>91</v>
      </c>
      <c r="E176" s="50">
        <v>64</v>
      </c>
      <c r="F176" s="50" t="s">
        <v>2017</v>
      </c>
      <c r="G176" s="50" t="s">
        <v>1017</v>
      </c>
      <c r="H176" s="50">
        <v>1</v>
      </c>
      <c r="I176" s="50">
        <v>1.3</v>
      </c>
      <c r="J176" s="50">
        <v>0.3</v>
      </c>
      <c r="K176" s="50" t="s">
        <v>1794</v>
      </c>
      <c r="L176" s="50" t="s">
        <v>150</v>
      </c>
      <c r="M176" s="50" t="s">
        <v>731</v>
      </c>
      <c r="N176" s="50">
        <v>27.3</v>
      </c>
      <c r="O176" s="104" t="s">
        <v>1761</v>
      </c>
      <c r="P176" s="50" t="s">
        <v>1808</v>
      </c>
      <c r="Q176" s="105">
        <v>15990</v>
      </c>
    </row>
    <row r="177" spans="1:17" ht="15" customHeight="1" x14ac:dyDescent="0.25">
      <c r="A177" s="49" t="s">
        <v>2018</v>
      </c>
      <c r="B177" s="50" t="s">
        <v>1758</v>
      </c>
      <c r="C177" s="50" t="s">
        <v>86</v>
      </c>
      <c r="D177" s="50" t="s">
        <v>51</v>
      </c>
      <c r="E177" s="50">
        <v>165</v>
      </c>
      <c r="F177" s="50" t="s">
        <v>2019</v>
      </c>
      <c r="G177" s="50" t="s">
        <v>1198</v>
      </c>
      <c r="H177" s="50">
        <v>2.7</v>
      </c>
      <c r="I177" s="50">
        <v>3.5</v>
      </c>
      <c r="J177" s="50">
        <v>0.8</v>
      </c>
      <c r="K177" s="50" t="s">
        <v>1783</v>
      </c>
      <c r="L177" s="50" t="s">
        <v>160</v>
      </c>
      <c r="M177" s="50" t="s">
        <v>1760</v>
      </c>
      <c r="N177" s="50">
        <v>8.4</v>
      </c>
      <c r="O177" s="104" t="s">
        <v>1761</v>
      </c>
      <c r="P177" s="50" t="s">
        <v>1808</v>
      </c>
      <c r="Q177" s="105">
        <v>22466</v>
      </c>
    </row>
    <row r="178" spans="1:17" ht="15" customHeight="1" x14ac:dyDescent="0.25">
      <c r="A178" s="49" t="s">
        <v>2020</v>
      </c>
      <c r="B178" s="50" t="s">
        <v>1772</v>
      </c>
      <c r="C178" s="50" t="s">
        <v>51</v>
      </c>
      <c r="D178" s="50" t="s">
        <v>91</v>
      </c>
      <c r="E178" s="50">
        <v>64</v>
      </c>
      <c r="F178" s="50" t="s">
        <v>1839</v>
      </c>
      <c r="G178" s="50" t="s">
        <v>2021</v>
      </c>
      <c r="H178" s="50">
        <v>1.2</v>
      </c>
      <c r="I178" s="50">
        <v>1.3</v>
      </c>
      <c r="J178" s="50">
        <v>0.1</v>
      </c>
      <c r="K178" s="50" t="s">
        <v>1803</v>
      </c>
      <c r="L178" s="50" t="s">
        <v>70</v>
      </c>
      <c r="M178" s="50" t="s">
        <v>1790</v>
      </c>
      <c r="N178" s="50">
        <v>0.8</v>
      </c>
      <c r="O178" s="104" t="s">
        <v>1761</v>
      </c>
      <c r="P178" s="50" t="s">
        <v>1775</v>
      </c>
      <c r="Q178" s="105">
        <v>9492</v>
      </c>
    </row>
    <row r="179" spans="1:17" ht="15" customHeight="1" x14ac:dyDescent="0.25">
      <c r="A179" s="49" t="s">
        <v>2022</v>
      </c>
      <c r="B179" s="50" t="s">
        <v>1782</v>
      </c>
      <c r="C179" s="50" t="s">
        <v>51</v>
      </c>
      <c r="D179" s="50" t="s">
        <v>96</v>
      </c>
      <c r="E179" s="50">
        <v>486</v>
      </c>
      <c r="F179" s="50" t="s">
        <v>2023</v>
      </c>
      <c r="G179" s="50"/>
      <c r="H179" s="50">
        <v>7.3</v>
      </c>
      <c r="I179" s="50"/>
      <c r="J179" s="50">
        <v>0</v>
      </c>
      <c r="K179" s="50" t="s">
        <v>1823</v>
      </c>
      <c r="L179" s="50" t="s">
        <v>202</v>
      </c>
      <c r="M179" s="50" t="s">
        <v>731</v>
      </c>
      <c r="N179" s="50">
        <v>8.1</v>
      </c>
      <c r="O179" s="50" t="s">
        <v>1756</v>
      </c>
      <c r="P179" s="50"/>
      <c r="Q179" s="105">
        <v>74718</v>
      </c>
    </row>
    <row r="180" spans="1:17" ht="15" customHeight="1" x14ac:dyDescent="0.25">
      <c r="A180" s="49" t="s">
        <v>2024</v>
      </c>
      <c r="B180" s="50" t="s">
        <v>1825</v>
      </c>
      <c r="C180" s="50" t="s">
        <v>103</v>
      </c>
      <c r="D180" s="50" t="s">
        <v>72</v>
      </c>
      <c r="E180" s="50">
        <v>64</v>
      </c>
      <c r="F180" s="50" t="s">
        <v>1405</v>
      </c>
      <c r="G180" s="50" t="s">
        <v>913</v>
      </c>
      <c r="H180" s="50">
        <v>1.2</v>
      </c>
      <c r="I180" s="50">
        <v>1.1000000000000001</v>
      </c>
      <c r="J180" s="50">
        <v>0</v>
      </c>
      <c r="K180" s="50" t="s">
        <v>1817</v>
      </c>
      <c r="L180" s="50" t="s">
        <v>248</v>
      </c>
      <c r="M180" s="50" t="s">
        <v>1784</v>
      </c>
      <c r="N180" s="50">
        <v>2</v>
      </c>
      <c r="O180" s="104" t="s">
        <v>1761</v>
      </c>
      <c r="P180" s="50" t="s">
        <v>1780</v>
      </c>
      <c r="Q180" s="105">
        <v>11896</v>
      </c>
    </row>
    <row r="181" spans="1:17" ht="15" customHeight="1" x14ac:dyDescent="0.25">
      <c r="A181" s="49" t="s">
        <v>2025</v>
      </c>
      <c r="B181" s="50" t="s">
        <v>1825</v>
      </c>
      <c r="C181" s="50" t="s">
        <v>103</v>
      </c>
      <c r="D181" s="50" t="s">
        <v>72</v>
      </c>
      <c r="E181" s="50">
        <v>64</v>
      </c>
      <c r="F181" s="50" t="s">
        <v>1976</v>
      </c>
      <c r="G181" s="50" t="s">
        <v>2026</v>
      </c>
      <c r="H181" s="50">
        <v>0.9</v>
      </c>
      <c r="I181" s="50">
        <v>1.3</v>
      </c>
      <c r="J181" s="50">
        <v>0.4</v>
      </c>
      <c r="K181" s="50" t="s">
        <v>1779</v>
      </c>
      <c r="L181" s="50" t="s">
        <v>272</v>
      </c>
      <c r="M181" s="50" t="s">
        <v>1760</v>
      </c>
      <c r="N181" s="50">
        <v>29.3</v>
      </c>
      <c r="O181" s="104" t="s">
        <v>1761</v>
      </c>
      <c r="P181" s="50" t="s">
        <v>1775</v>
      </c>
      <c r="Q181" s="105">
        <v>13656</v>
      </c>
    </row>
    <row r="182" spans="1:17" ht="15" customHeight="1" x14ac:dyDescent="0.25">
      <c r="A182" s="49" t="s">
        <v>2027</v>
      </c>
      <c r="B182" s="50" t="s">
        <v>1772</v>
      </c>
      <c r="C182" s="50" t="s">
        <v>51</v>
      </c>
      <c r="D182" s="50" t="s">
        <v>91</v>
      </c>
      <c r="E182" s="50">
        <v>64</v>
      </c>
      <c r="F182" s="50" t="s">
        <v>885</v>
      </c>
      <c r="G182" s="50" t="s">
        <v>1019</v>
      </c>
      <c r="H182" s="50">
        <v>1.2</v>
      </c>
      <c r="I182" s="50">
        <v>1.5</v>
      </c>
      <c r="J182" s="50">
        <v>0.3</v>
      </c>
      <c r="K182" s="50" t="s">
        <v>1803</v>
      </c>
      <c r="L182" s="50" t="s">
        <v>116</v>
      </c>
      <c r="M182" s="50" t="s">
        <v>1755</v>
      </c>
      <c r="N182" s="50">
        <v>2.8</v>
      </c>
      <c r="O182" s="104" t="s">
        <v>1761</v>
      </c>
      <c r="P182" s="50" t="s">
        <v>1820</v>
      </c>
      <c r="Q182" s="105">
        <v>8274</v>
      </c>
    </row>
    <row r="183" spans="1:17" ht="15" customHeight="1" x14ac:dyDescent="0.25">
      <c r="A183" s="49" t="s">
        <v>2028</v>
      </c>
      <c r="B183" s="50" t="s">
        <v>1786</v>
      </c>
      <c r="C183" s="50" t="s">
        <v>131</v>
      </c>
      <c r="D183" s="50" t="s">
        <v>119</v>
      </c>
      <c r="E183" s="50">
        <v>360</v>
      </c>
      <c r="F183" s="50" t="s">
        <v>1039</v>
      </c>
      <c r="G183" s="50"/>
      <c r="H183" s="50">
        <v>6</v>
      </c>
      <c r="I183" s="50"/>
      <c r="J183" s="50">
        <v>0</v>
      </c>
      <c r="K183" s="50" t="s">
        <v>1774</v>
      </c>
      <c r="L183" s="50" t="s">
        <v>182</v>
      </c>
      <c r="M183" s="50" t="s">
        <v>1760</v>
      </c>
      <c r="N183" s="50">
        <v>29.3</v>
      </c>
      <c r="O183" s="104" t="s">
        <v>700</v>
      </c>
      <c r="P183" s="50"/>
      <c r="Q183" s="105">
        <v>60737</v>
      </c>
    </row>
    <row r="184" spans="1:17" ht="15" customHeight="1" x14ac:dyDescent="0.25">
      <c r="A184" s="49" t="s">
        <v>2029</v>
      </c>
      <c r="B184" s="50" t="s">
        <v>1812</v>
      </c>
      <c r="C184" s="50" t="s">
        <v>86</v>
      </c>
      <c r="D184" s="50" t="s">
        <v>68</v>
      </c>
      <c r="E184" s="50">
        <v>135</v>
      </c>
      <c r="F184" s="50" t="s">
        <v>926</v>
      </c>
      <c r="G184" s="50" t="s">
        <v>980</v>
      </c>
      <c r="H184" s="50">
        <v>2.6</v>
      </c>
      <c r="I184" s="50">
        <v>3.6</v>
      </c>
      <c r="J184" s="50">
        <v>1</v>
      </c>
      <c r="K184" s="50" t="s">
        <v>1794</v>
      </c>
      <c r="L184" s="50" t="s">
        <v>127</v>
      </c>
      <c r="M184" s="50" t="s">
        <v>1755</v>
      </c>
      <c r="N184" s="50">
        <v>1.3</v>
      </c>
      <c r="O184" s="104" t="s">
        <v>1761</v>
      </c>
      <c r="P184" s="50" t="s">
        <v>1775</v>
      </c>
      <c r="Q184" s="105">
        <v>29950</v>
      </c>
    </row>
    <row r="185" spans="1:17" ht="15" customHeight="1" x14ac:dyDescent="0.25">
      <c r="A185" s="49" t="s">
        <v>2030</v>
      </c>
      <c r="B185" s="50" t="s">
        <v>1819</v>
      </c>
      <c r="C185" s="50" t="s">
        <v>103</v>
      </c>
      <c r="D185" s="50" t="s">
        <v>51</v>
      </c>
      <c r="E185" s="50">
        <v>350</v>
      </c>
      <c r="F185" s="50" t="s">
        <v>406</v>
      </c>
      <c r="G185" s="50"/>
      <c r="H185" s="50">
        <v>4.7</v>
      </c>
      <c r="I185" s="50"/>
      <c r="J185" s="50">
        <v>0</v>
      </c>
      <c r="K185" s="50" t="s">
        <v>1779</v>
      </c>
      <c r="L185" s="50" t="s">
        <v>258</v>
      </c>
      <c r="M185" s="50" t="s">
        <v>1784</v>
      </c>
      <c r="N185" s="50">
        <v>4.9000000000000004</v>
      </c>
      <c r="O185" s="50" t="s">
        <v>1756</v>
      </c>
      <c r="P185" s="50"/>
      <c r="Q185" s="105">
        <v>71539</v>
      </c>
    </row>
    <row r="186" spans="1:17" ht="15" customHeight="1" x14ac:dyDescent="0.25">
      <c r="A186" s="49" t="s">
        <v>2031</v>
      </c>
      <c r="B186" s="50" t="s">
        <v>1768</v>
      </c>
      <c r="C186" s="50" t="s">
        <v>51</v>
      </c>
      <c r="D186" s="50" t="s">
        <v>103</v>
      </c>
      <c r="E186" s="50">
        <v>350</v>
      </c>
      <c r="F186" s="50" t="s">
        <v>1143</v>
      </c>
      <c r="G186" s="50" t="s">
        <v>1311</v>
      </c>
      <c r="H186" s="50">
        <v>4.4000000000000004</v>
      </c>
      <c r="I186" s="50">
        <v>6.2</v>
      </c>
      <c r="J186" s="50">
        <v>1.8</v>
      </c>
      <c r="K186" s="50" t="s">
        <v>1754</v>
      </c>
      <c r="L186" s="50" t="s">
        <v>230</v>
      </c>
      <c r="M186" s="50" t="s">
        <v>1784</v>
      </c>
      <c r="N186" s="50">
        <v>12.8</v>
      </c>
      <c r="O186" s="104" t="s">
        <v>1761</v>
      </c>
      <c r="P186" s="50" t="s">
        <v>1808</v>
      </c>
      <c r="Q186" s="105">
        <v>69623</v>
      </c>
    </row>
    <row r="187" spans="1:17" ht="15" customHeight="1" x14ac:dyDescent="0.25">
      <c r="A187" s="49" t="s">
        <v>2032</v>
      </c>
      <c r="B187" s="50" t="s">
        <v>1753</v>
      </c>
      <c r="C187" s="50" t="s">
        <v>96</v>
      </c>
      <c r="D187" s="50" t="s">
        <v>51</v>
      </c>
      <c r="E187" s="50">
        <v>486</v>
      </c>
      <c r="F187" s="50" t="s">
        <v>1075</v>
      </c>
      <c r="G187" s="50"/>
      <c r="H187" s="50">
        <v>8.6999999999999993</v>
      </c>
      <c r="I187" s="50"/>
      <c r="J187" s="50">
        <v>0</v>
      </c>
      <c r="K187" s="50" t="s">
        <v>1783</v>
      </c>
      <c r="L187" s="50" t="s">
        <v>165</v>
      </c>
      <c r="M187" s="50" t="s">
        <v>731</v>
      </c>
      <c r="N187" s="50">
        <v>10.199999999999999</v>
      </c>
      <c r="O187" s="50" t="s">
        <v>1756</v>
      </c>
      <c r="P187" s="50"/>
      <c r="Q187" s="105">
        <v>120077</v>
      </c>
    </row>
    <row r="188" spans="1:17" ht="15" customHeight="1" x14ac:dyDescent="0.25">
      <c r="A188" s="49" t="s">
        <v>2033</v>
      </c>
      <c r="B188" s="50" t="s">
        <v>1822</v>
      </c>
      <c r="C188" s="50" t="s">
        <v>96</v>
      </c>
      <c r="D188" s="50" t="s">
        <v>83</v>
      </c>
      <c r="E188" s="50">
        <v>120</v>
      </c>
      <c r="F188" s="50" t="s">
        <v>2034</v>
      </c>
      <c r="G188" s="50"/>
      <c r="H188" s="50">
        <v>1.5</v>
      </c>
      <c r="I188" s="50"/>
      <c r="J188" s="50">
        <v>0</v>
      </c>
      <c r="K188" s="50" t="s">
        <v>1841</v>
      </c>
      <c r="L188" s="50" t="s">
        <v>151</v>
      </c>
      <c r="M188" s="50" t="s">
        <v>1790</v>
      </c>
      <c r="N188" s="50">
        <v>22.1</v>
      </c>
      <c r="O188" s="104" t="s">
        <v>700</v>
      </c>
      <c r="P188" s="50"/>
      <c r="Q188" s="105">
        <v>20045</v>
      </c>
    </row>
    <row r="189" spans="1:17" ht="15" customHeight="1" x14ac:dyDescent="0.25">
      <c r="A189" s="49" t="s">
        <v>2035</v>
      </c>
      <c r="B189" s="50" t="s">
        <v>1764</v>
      </c>
      <c r="C189" s="50" t="s">
        <v>51</v>
      </c>
      <c r="D189" s="50" t="s">
        <v>62</v>
      </c>
      <c r="E189" s="50">
        <v>160</v>
      </c>
      <c r="F189" s="50" t="s">
        <v>1188</v>
      </c>
      <c r="G189" s="50" t="s">
        <v>1188</v>
      </c>
      <c r="H189" s="50">
        <v>2.5</v>
      </c>
      <c r="I189" s="50">
        <v>3.5</v>
      </c>
      <c r="J189" s="50">
        <v>1</v>
      </c>
      <c r="K189" s="50" t="s">
        <v>1759</v>
      </c>
      <c r="L189" s="50" t="s">
        <v>204</v>
      </c>
      <c r="M189" s="50" t="s">
        <v>1770</v>
      </c>
      <c r="N189" s="50">
        <v>12.9</v>
      </c>
      <c r="O189" s="104" t="s">
        <v>1761</v>
      </c>
      <c r="P189" s="50" t="s">
        <v>1775</v>
      </c>
      <c r="Q189" s="105">
        <v>24295</v>
      </c>
    </row>
    <row r="190" spans="1:17" ht="15" customHeight="1" x14ac:dyDescent="0.25">
      <c r="A190" s="49" t="s">
        <v>2036</v>
      </c>
      <c r="B190" s="50" t="s">
        <v>1805</v>
      </c>
      <c r="C190" s="50" t="s">
        <v>51</v>
      </c>
      <c r="D190" s="50" t="s">
        <v>131</v>
      </c>
      <c r="E190" s="50">
        <v>44</v>
      </c>
      <c r="F190" s="50" t="s">
        <v>740</v>
      </c>
      <c r="G190" s="50" t="s">
        <v>1231</v>
      </c>
      <c r="H190" s="50">
        <v>0.6</v>
      </c>
      <c r="I190" s="50">
        <v>0.6</v>
      </c>
      <c r="J190" s="50">
        <v>0</v>
      </c>
      <c r="K190" s="50" t="s">
        <v>1783</v>
      </c>
      <c r="L190" s="50" t="s">
        <v>156</v>
      </c>
      <c r="M190" s="50" t="s">
        <v>1770</v>
      </c>
      <c r="N190" s="50">
        <v>9</v>
      </c>
      <c r="O190" s="104" t="s">
        <v>1761</v>
      </c>
      <c r="P190" s="50" t="s">
        <v>1780</v>
      </c>
      <c r="Q190" s="105">
        <v>8169</v>
      </c>
    </row>
    <row r="191" spans="1:17" ht="15" customHeight="1" x14ac:dyDescent="0.25">
      <c r="A191" s="49" t="s">
        <v>2037</v>
      </c>
      <c r="B191" s="50" t="s">
        <v>1792</v>
      </c>
      <c r="C191" s="50" t="s">
        <v>51</v>
      </c>
      <c r="D191" s="50" t="s">
        <v>86</v>
      </c>
      <c r="E191" s="50">
        <v>165</v>
      </c>
      <c r="F191" s="50" t="s">
        <v>932</v>
      </c>
      <c r="G191" s="50" t="s">
        <v>1125</v>
      </c>
      <c r="H191" s="50">
        <v>2.9</v>
      </c>
      <c r="I191" s="50">
        <v>3.9</v>
      </c>
      <c r="J191" s="50">
        <v>1</v>
      </c>
      <c r="K191" s="50" t="s">
        <v>1807</v>
      </c>
      <c r="L191" s="50" t="s">
        <v>206</v>
      </c>
      <c r="M191" s="50" t="s">
        <v>1765</v>
      </c>
      <c r="N191" s="50">
        <v>5.4</v>
      </c>
      <c r="O191" s="104" t="s">
        <v>1761</v>
      </c>
      <c r="P191" s="50" t="s">
        <v>1820</v>
      </c>
      <c r="Q191" s="105">
        <v>35734</v>
      </c>
    </row>
    <row r="192" spans="1:17" ht="15" customHeight="1" x14ac:dyDescent="0.25">
      <c r="A192" s="49" t="s">
        <v>2038</v>
      </c>
      <c r="B192" s="50" t="s">
        <v>1792</v>
      </c>
      <c r="C192" s="50" t="s">
        <v>51</v>
      </c>
      <c r="D192" s="50" t="s">
        <v>86</v>
      </c>
      <c r="E192" s="50">
        <v>165</v>
      </c>
      <c r="F192" s="50" t="s">
        <v>424</v>
      </c>
      <c r="G192" s="50"/>
      <c r="H192" s="50">
        <v>2.2999999999999998</v>
      </c>
      <c r="I192" s="50"/>
      <c r="J192" s="50">
        <v>0</v>
      </c>
      <c r="K192" s="50" t="s">
        <v>1823</v>
      </c>
      <c r="L192" s="50" t="s">
        <v>122</v>
      </c>
      <c r="M192" s="50" t="s">
        <v>1755</v>
      </c>
      <c r="N192" s="50">
        <v>26.1</v>
      </c>
      <c r="O192" s="104" t="s">
        <v>700</v>
      </c>
      <c r="P192" s="50"/>
      <c r="Q192" s="105">
        <v>39196</v>
      </c>
    </row>
    <row r="193" spans="1:17" ht="15" customHeight="1" x14ac:dyDescent="0.25">
      <c r="A193" s="49" t="s">
        <v>2039</v>
      </c>
      <c r="B193" s="50" t="s">
        <v>1764</v>
      </c>
      <c r="C193" s="50" t="s">
        <v>51</v>
      </c>
      <c r="D193" s="50" t="s">
        <v>62</v>
      </c>
      <c r="E193" s="50">
        <v>160</v>
      </c>
      <c r="F193" s="50" t="s">
        <v>964</v>
      </c>
      <c r="G193" s="50"/>
      <c r="H193" s="50">
        <v>2.4</v>
      </c>
      <c r="I193" s="50"/>
      <c r="J193" s="50">
        <v>0</v>
      </c>
      <c r="K193" s="50" t="s">
        <v>1841</v>
      </c>
      <c r="L193" s="50" t="s">
        <v>165</v>
      </c>
      <c r="M193" s="50" t="s">
        <v>1765</v>
      </c>
      <c r="N193" s="50">
        <v>10.4</v>
      </c>
      <c r="O193" s="50" t="s">
        <v>1756</v>
      </c>
      <c r="P193" s="50"/>
      <c r="Q193" s="105">
        <v>26202</v>
      </c>
    </row>
    <row r="194" spans="1:17" ht="15" customHeight="1" x14ac:dyDescent="0.25">
      <c r="A194" s="49" t="s">
        <v>2040</v>
      </c>
      <c r="B194" s="50" t="s">
        <v>1772</v>
      </c>
      <c r="C194" s="50" t="s">
        <v>51</v>
      </c>
      <c r="D194" s="50" t="s">
        <v>91</v>
      </c>
      <c r="E194" s="50">
        <v>64</v>
      </c>
      <c r="F194" s="50" t="s">
        <v>1627</v>
      </c>
      <c r="G194" s="50" t="s">
        <v>1376</v>
      </c>
      <c r="H194" s="50">
        <v>1.2</v>
      </c>
      <c r="I194" s="50">
        <v>1.6</v>
      </c>
      <c r="J194" s="50">
        <v>0.4</v>
      </c>
      <c r="K194" s="50" t="s">
        <v>1794</v>
      </c>
      <c r="L194" s="50" t="s">
        <v>180</v>
      </c>
      <c r="M194" s="50" t="s">
        <v>1790</v>
      </c>
      <c r="N194" s="50">
        <v>27.4</v>
      </c>
      <c r="O194" s="104" t="s">
        <v>1761</v>
      </c>
      <c r="P194" s="50" t="s">
        <v>1762</v>
      </c>
      <c r="Q194" s="105">
        <v>13984</v>
      </c>
    </row>
    <row r="195" spans="1:17" ht="15" customHeight="1" x14ac:dyDescent="0.25">
      <c r="A195" s="49" t="s">
        <v>2041</v>
      </c>
      <c r="B195" s="50" t="s">
        <v>1819</v>
      </c>
      <c r="C195" s="50" t="s">
        <v>103</v>
      </c>
      <c r="D195" s="50" t="s">
        <v>51</v>
      </c>
      <c r="E195" s="50">
        <v>350</v>
      </c>
      <c r="F195" s="50" t="s">
        <v>2042</v>
      </c>
      <c r="G195" s="50" t="s">
        <v>1604</v>
      </c>
      <c r="H195" s="50">
        <v>4.9000000000000004</v>
      </c>
      <c r="I195" s="50">
        <v>6.2</v>
      </c>
      <c r="J195" s="50">
        <v>1.3</v>
      </c>
      <c r="K195" s="50" t="s">
        <v>1783</v>
      </c>
      <c r="L195" s="50" t="s">
        <v>220</v>
      </c>
      <c r="M195" s="50" t="s">
        <v>1765</v>
      </c>
      <c r="N195" s="50">
        <v>5</v>
      </c>
      <c r="O195" s="104" t="s">
        <v>1761</v>
      </c>
      <c r="P195" s="50" t="s">
        <v>1820</v>
      </c>
      <c r="Q195" s="105">
        <v>59262</v>
      </c>
    </row>
    <row r="196" spans="1:17" ht="15" customHeight="1" x14ac:dyDescent="0.25">
      <c r="A196" s="49" t="s">
        <v>2043</v>
      </c>
      <c r="B196" s="50" t="s">
        <v>1825</v>
      </c>
      <c r="C196" s="50" t="s">
        <v>103</v>
      </c>
      <c r="D196" s="50" t="s">
        <v>72</v>
      </c>
      <c r="E196" s="50">
        <v>64</v>
      </c>
      <c r="F196" s="50" t="s">
        <v>1441</v>
      </c>
      <c r="G196" s="50" t="s">
        <v>1329</v>
      </c>
      <c r="H196" s="50">
        <v>0.9</v>
      </c>
      <c r="I196" s="50">
        <v>1.1000000000000001</v>
      </c>
      <c r="J196" s="50">
        <v>0.2</v>
      </c>
      <c r="K196" s="50" t="s">
        <v>1774</v>
      </c>
      <c r="L196" s="50" t="s">
        <v>111</v>
      </c>
      <c r="M196" s="50" t="s">
        <v>731</v>
      </c>
      <c r="N196" s="50">
        <v>9.3000000000000007</v>
      </c>
      <c r="O196" s="104" t="s">
        <v>1761</v>
      </c>
      <c r="P196" s="50" t="s">
        <v>1775</v>
      </c>
      <c r="Q196" s="105">
        <v>11908</v>
      </c>
    </row>
    <row r="197" spans="1:17" ht="15" customHeight="1" x14ac:dyDescent="0.25">
      <c r="A197" s="49" t="s">
        <v>2044</v>
      </c>
      <c r="B197" s="50" t="s">
        <v>1805</v>
      </c>
      <c r="C197" s="50" t="s">
        <v>51</v>
      </c>
      <c r="D197" s="50" t="s">
        <v>131</v>
      </c>
      <c r="E197" s="50">
        <v>44</v>
      </c>
      <c r="F197" s="50" t="s">
        <v>1657</v>
      </c>
      <c r="G197" s="50"/>
      <c r="H197" s="50">
        <v>0.7</v>
      </c>
      <c r="I197" s="50"/>
      <c r="J197" s="50">
        <v>0</v>
      </c>
      <c r="K197" s="50" t="s">
        <v>1774</v>
      </c>
      <c r="L197" s="50" t="s">
        <v>135</v>
      </c>
      <c r="M197" s="50" t="s">
        <v>731</v>
      </c>
      <c r="N197" s="50">
        <v>1.7</v>
      </c>
      <c r="O197" s="104" t="s">
        <v>700</v>
      </c>
      <c r="P197" s="50"/>
      <c r="Q197" s="105">
        <v>10327</v>
      </c>
    </row>
    <row r="198" spans="1:17" ht="15" customHeight="1" x14ac:dyDescent="0.25">
      <c r="A198" s="49" t="s">
        <v>2045</v>
      </c>
      <c r="B198" s="50" t="s">
        <v>1819</v>
      </c>
      <c r="C198" s="50" t="s">
        <v>103</v>
      </c>
      <c r="D198" s="50" t="s">
        <v>51</v>
      </c>
      <c r="E198" s="50">
        <v>350</v>
      </c>
      <c r="F198" s="50" t="s">
        <v>859</v>
      </c>
      <c r="G198" s="50" t="s">
        <v>2046</v>
      </c>
      <c r="H198" s="50">
        <v>6</v>
      </c>
      <c r="I198" s="50">
        <v>5.8</v>
      </c>
      <c r="J198" s="50">
        <v>0</v>
      </c>
      <c r="K198" s="50" t="s">
        <v>1794</v>
      </c>
      <c r="L198" s="50" t="s">
        <v>247</v>
      </c>
      <c r="M198" s="50" t="s">
        <v>1760</v>
      </c>
      <c r="N198" s="50">
        <v>3.4</v>
      </c>
      <c r="O198" s="104" t="s">
        <v>1761</v>
      </c>
      <c r="P198" s="50" t="s">
        <v>1780</v>
      </c>
      <c r="Q198" s="105">
        <v>64142</v>
      </c>
    </row>
    <row r="199" spans="1:17" ht="15" customHeight="1" x14ac:dyDescent="0.25">
      <c r="A199" s="49" t="s">
        <v>2047</v>
      </c>
      <c r="B199" s="50" t="s">
        <v>1822</v>
      </c>
      <c r="C199" s="50" t="s">
        <v>96</v>
      </c>
      <c r="D199" s="50" t="s">
        <v>83</v>
      </c>
      <c r="E199" s="50">
        <v>120</v>
      </c>
      <c r="F199" s="50" t="s">
        <v>1541</v>
      </c>
      <c r="G199" s="50" t="s">
        <v>892</v>
      </c>
      <c r="H199" s="50">
        <v>1.5</v>
      </c>
      <c r="I199" s="50">
        <v>1.5</v>
      </c>
      <c r="J199" s="50">
        <v>0</v>
      </c>
      <c r="K199" s="50" t="s">
        <v>1774</v>
      </c>
      <c r="L199" s="50" t="s">
        <v>115</v>
      </c>
      <c r="M199" s="50" t="s">
        <v>731</v>
      </c>
      <c r="N199" s="50">
        <v>20.2</v>
      </c>
      <c r="O199" s="104" t="s">
        <v>1761</v>
      </c>
      <c r="P199" s="50" t="s">
        <v>1780</v>
      </c>
      <c r="Q199" s="105">
        <v>26176</v>
      </c>
    </row>
    <row r="200" spans="1:17" ht="15" customHeight="1" x14ac:dyDescent="0.25">
      <c r="A200" s="49" t="s">
        <v>2048</v>
      </c>
      <c r="B200" s="50" t="s">
        <v>1782</v>
      </c>
      <c r="C200" s="50" t="s">
        <v>51</v>
      </c>
      <c r="D200" s="50" t="s">
        <v>96</v>
      </c>
      <c r="E200" s="50">
        <v>486</v>
      </c>
      <c r="F200" s="50" t="s">
        <v>1335</v>
      </c>
      <c r="G200" s="50" t="s">
        <v>2049</v>
      </c>
      <c r="H200" s="50">
        <v>6.6</v>
      </c>
      <c r="I200" s="50">
        <v>7.1</v>
      </c>
      <c r="J200" s="50">
        <v>0.5</v>
      </c>
      <c r="K200" s="50" t="s">
        <v>1779</v>
      </c>
      <c r="L200" s="50" t="s">
        <v>215</v>
      </c>
      <c r="M200" s="50" t="s">
        <v>1770</v>
      </c>
      <c r="N200" s="50">
        <v>24.8</v>
      </c>
      <c r="O200" s="104" t="s">
        <v>1761</v>
      </c>
      <c r="P200" s="50" t="s">
        <v>1820</v>
      </c>
      <c r="Q200" s="105">
        <v>104573</v>
      </c>
    </row>
    <row r="201" spans="1:17" ht="15" customHeight="1" x14ac:dyDescent="0.25">
      <c r="A201" s="49" t="s">
        <v>2050</v>
      </c>
      <c r="B201" s="50" t="s">
        <v>1855</v>
      </c>
      <c r="C201" s="50" t="s">
        <v>68</v>
      </c>
      <c r="D201" s="50" t="s">
        <v>93</v>
      </c>
      <c r="E201" s="50">
        <v>67</v>
      </c>
      <c r="F201" s="50" t="s">
        <v>1242</v>
      </c>
      <c r="G201" s="50"/>
      <c r="H201" s="50">
        <v>0.9</v>
      </c>
      <c r="I201" s="50"/>
      <c r="J201" s="50">
        <v>0</v>
      </c>
      <c r="K201" s="50" t="s">
        <v>1841</v>
      </c>
      <c r="L201" s="50" t="s">
        <v>270</v>
      </c>
      <c r="M201" s="50" t="s">
        <v>1770</v>
      </c>
      <c r="N201" s="50">
        <v>4</v>
      </c>
      <c r="O201" s="104" t="s">
        <v>700</v>
      </c>
      <c r="P201" s="50"/>
      <c r="Q201" s="105">
        <v>12336</v>
      </c>
    </row>
    <row r="202" spans="1:17" ht="15" customHeight="1" x14ac:dyDescent="0.25">
      <c r="A202" s="49" t="s">
        <v>2051</v>
      </c>
      <c r="B202" s="50" t="s">
        <v>1768</v>
      </c>
      <c r="C202" s="50" t="s">
        <v>51</v>
      </c>
      <c r="D202" s="50" t="s">
        <v>103</v>
      </c>
      <c r="E202" s="50">
        <v>350</v>
      </c>
      <c r="F202" s="50" t="s">
        <v>1077</v>
      </c>
      <c r="G202" s="50" t="s">
        <v>2052</v>
      </c>
      <c r="H202" s="50">
        <v>5</v>
      </c>
      <c r="I202" s="50">
        <v>5.5</v>
      </c>
      <c r="J202" s="50">
        <v>0.5</v>
      </c>
      <c r="K202" s="50" t="s">
        <v>1797</v>
      </c>
      <c r="L202" s="50" t="s">
        <v>106</v>
      </c>
      <c r="M202" s="50" t="s">
        <v>1784</v>
      </c>
      <c r="N202" s="50">
        <v>23.9</v>
      </c>
      <c r="O202" s="104" t="s">
        <v>1761</v>
      </c>
      <c r="P202" s="50" t="s">
        <v>1762</v>
      </c>
      <c r="Q202" s="105">
        <v>54563</v>
      </c>
    </row>
    <row r="203" spans="1:17" ht="15" customHeight="1" x14ac:dyDescent="0.25">
      <c r="A203" s="49" t="s">
        <v>2053</v>
      </c>
      <c r="B203" s="50" t="s">
        <v>1753</v>
      </c>
      <c r="C203" s="50" t="s">
        <v>96</v>
      </c>
      <c r="D203" s="50" t="s">
        <v>51</v>
      </c>
      <c r="E203" s="50">
        <v>486</v>
      </c>
      <c r="F203" s="50" t="s">
        <v>1869</v>
      </c>
      <c r="G203" s="50" t="s">
        <v>1869</v>
      </c>
      <c r="H203" s="50">
        <v>8.1999999999999993</v>
      </c>
      <c r="I203" s="50">
        <v>9.9</v>
      </c>
      <c r="J203" s="50">
        <v>1.7</v>
      </c>
      <c r="K203" s="50" t="s">
        <v>1794</v>
      </c>
      <c r="L203" s="50" t="s">
        <v>87</v>
      </c>
      <c r="M203" s="50" t="s">
        <v>1790</v>
      </c>
      <c r="N203" s="50">
        <v>3.5</v>
      </c>
      <c r="O203" s="104" t="s">
        <v>1761</v>
      </c>
      <c r="P203" s="50" t="s">
        <v>1775</v>
      </c>
      <c r="Q203" s="105">
        <v>100090</v>
      </c>
    </row>
    <row r="204" spans="1:17" ht="15" customHeight="1" x14ac:dyDescent="0.25">
      <c r="A204" s="49" t="s">
        <v>2054</v>
      </c>
      <c r="B204" s="50" t="s">
        <v>1805</v>
      </c>
      <c r="C204" s="50" t="s">
        <v>51</v>
      </c>
      <c r="D204" s="50" t="s">
        <v>131</v>
      </c>
      <c r="E204" s="50">
        <v>44</v>
      </c>
      <c r="F204" s="50" t="s">
        <v>712</v>
      </c>
      <c r="G204" s="50" t="s">
        <v>1312</v>
      </c>
      <c r="H204" s="50">
        <v>0.9</v>
      </c>
      <c r="I204" s="50">
        <v>0.9</v>
      </c>
      <c r="J204" s="50">
        <v>0</v>
      </c>
      <c r="K204" s="50" t="s">
        <v>1807</v>
      </c>
      <c r="L204" s="50" t="s">
        <v>240</v>
      </c>
      <c r="M204" s="50" t="s">
        <v>1790</v>
      </c>
      <c r="N204" s="50">
        <v>26.2</v>
      </c>
      <c r="O204" s="104" t="s">
        <v>1761</v>
      </c>
      <c r="P204" s="50" t="s">
        <v>1780</v>
      </c>
      <c r="Q204" s="105">
        <v>6146</v>
      </c>
    </row>
    <row r="205" spans="1:17" ht="15" customHeight="1" x14ac:dyDescent="0.25">
      <c r="A205" s="49" t="s">
        <v>2055</v>
      </c>
      <c r="B205" s="50" t="s">
        <v>1777</v>
      </c>
      <c r="C205" s="50" t="s">
        <v>68</v>
      </c>
      <c r="D205" s="50" t="s">
        <v>86</v>
      </c>
      <c r="E205" s="50">
        <v>135</v>
      </c>
      <c r="F205" s="50" t="s">
        <v>1279</v>
      </c>
      <c r="G205" s="50"/>
      <c r="H205" s="50">
        <v>2.2999999999999998</v>
      </c>
      <c r="I205" s="50"/>
      <c r="J205" s="50">
        <v>0</v>
      </c>
      <c r="K205" s="50" t="s">
        <v>1759</v>
      </c>
      <c r="L205" s="50" t="s">
        <v>252</v>
      </c>
      <c r="M205" s="50" t="s">
        <v>1765</v>
      </c>
      <c r="N205" s="50">
        <v>28.5</v>
      </c>
      <c r="O205" s="104" t="s">
        <v>700</v>
      </c>
      <c r="P205" s="50"/>
      <c r="Q205" s="105">
        <v>29353</v>
      </c>
    </row>
    <row r="206" spans="1:17" ht="15" customHeight="1" x14ac:dyDescent="0.25">
      <c r="A206" s="49" t="s">
        <v>2056</v>
      </c>
      <c r="B206" s="50" t="s">
        <v>1782</v>
      </c>
      <c r="C206" s="50" t="s">
        <v>51</v>
      </c>
      <c r="D206" s="50" t="s">
        <v>96</v>
      </c>
      <c r="E206" s="50">
        <v>486</v>
      </c>
      <c r="F206" s="50" t="s">
        <v>776</v>
      </c>
      <c r="G206" s="50" t="s">
        <v>2057</v>
      </c>
      <c r="H206" s="50">
        <v>7.3</v>
      </c>
      <c r="I206" s="50">
        <v>9.3000000000000007</v>
      </c>
      <c r="J206" s="50">
        <v>2</v>
      </c>
      <c r="K206" s="50" t="s">
        <v>1759</v>
      </c>
      <c r="L206" s="50" t="s">
        <v>271</v>
      </c>
      <c r="M206" s="50" t="s">
        <v>731</v>
      </c>
      <c r="N206" s="50">
        <v>1.6</v>
      </c>
      <c r="O206" s="104" t="s">
        <v>1761</v>
      </c>
      <c r="P206" s="50" t="s">
        <v>1775</v>
      </c>
      <c r="Q206" s="105">
        <v>73149</v>
      </c>
    </row>
    <row r="207" spans="1:17" ht="15" customHeight="1" x14ac:dyDescent="0.25">
      <c r="A207" s="49" t="s">
        <v>2058</v>
      </c>
      <c r="B207" s="50" t="s">
        <v>1764</v>
      </c>
      <c r="C207" s="50" t="s">
        <v>51</v>
      </c>
      <c r="D207" s="50" t="s">
        <v>62</v>
      </c>
      <c r="E207" s="50">
        <v>160</v>
      </c>
      <c r="F207" s="50" t="s">
        <v>2059</v>
      </c>
      <c r="G207" s="50" t="s">
        <v>850</v>
      </c>
      <c r="H207" s="50">
        <v>2</v>
      </c>
      <c r="I207" s="50">
        <v>2.4</v>
      </c>
      <c r="J207" s="50">
        <v>0.4</v>
      </c>
      <c r="K207" s="50" t="s">
        <v>1794</v>
      </c>
      <c r="L207" s="50" t="s">
        <v>166</v>
      </c>
      <c r="M207" s="50" t="s">
        <v>1770</v>
      </c>
      <c r="N207" s="50">
        <v>7.3</v>
      </c>
      <c r="O207" s="104" t="s">
        <v>1761</v>
      </c>
      <c r="P207" s="50" t="s">
        <v>1820</v>
      </c>
      <c r="Q207" s="105">
        <v>31635</v>
      </c>
    </row>
    <row r="208" spans="1:17" ht="15" customHeight="1" x14ac:dyDescent="0.25">
      <c r="A208" s="49" t="s">
        <v>2060</v>
      </c>
      <c r="B208" s="50" t="s">
        <v>1855</v>
      </c>
      <c r="C208" s="50" t="s">
        <v>68</v>
      </c>
      <c r="D208" s="50" t="s">
        <v>93</v>
      </c>
      <c r="E208" s="50">
        <v>67</v>
      </c>
      <c r="F208" s="50" t="s">
        <v>1121</v>
      </c>
      <c r="G208" s="50"/>
      <c r="H208" s="50">
        <v>1.2</v>
      </c>
      <c r="I208" s="50"/>
      <c r="J208" s="50">
        <v>0</v>
      </c>
      <c r="K208" s="50" t="s">
        <v>1794</v>
      </c>
      <c r="L208" s="50" t="s">
        <v>283</v>
      </c>
      <c r="M208" s="50" t="s">
        <v>1770</v>
      </c>
      <c r="N208" s="50">
        <v>9</v>
      </c>
      <c r="O208" s="104" t="s">
        <v>1766</v>
      </c>
      <c r="P208" s="50"/>
      <c r="Q208" s="105">
        <v>10874</v>
      </c>
    </row>
    <row r="209" spans="1:17" ht="15" customHeight="1" x14ac:dyDescent="0.25">
      <c r="A209" s="49" t="s">
        <v>2061</v>
      </c>
      <c r="B209" s="50" t="s">
        <v>1753</v>
      </c>
      <c r="C209" s="50" t="s">
        <v>96</v>
      </c>
      <c r="D209" s="50" t="s">
        <v>51</v>
      </c>
      <c r="E209" s="50">
        <v>486</v>
      </c>
      <c r="F209" s="50" t="s">
        <v>1699</v>
      </c>
      <c r="G209" s="50" t="s">
        <v>1016</v>
      </c>
      <c r="H209" s="50">
        <v>7.6</v>
      </c>
      <c r="I209" s="50">
        <v>7.4</v>
      </c>
      <c r="J209" s="50">
        <v>0</v>
      </c>
      <c r="K209" s="50" t="s">
        <v>1797</v>
      </c>
      <c r="L209" s="50" t="s">
        <v>259</v>
      </c>
      <c r="M209" s="50" t="s">
        <v>1765</v>
      </c>
      <c r="N209" s="50">
        <v>10.8</v>
      </c>
      <c r="O209" s="104" t="s">
        <v>1761</v>
      </c>
      <c r="P209" s="50" t="s">
        <v>1780</v>
      </c>
      <c r="Q209" s="105">
        <v>111399</v>
      </c>
    </row>
    <row r="210" spans="1:17" ht="15" customHeight="1" x14ac:dyDescent="0.25">
      <c r="A210" s="49" t="s">
        <v>2062</v>
      </c>
      <c r="B210" s="50" t="s">
        <v>1777</v>
      </c>
      <c r="C210" s="50" t="s">
        <v>68</v>
      </c>
      <c r="D210" s="50" t="s">
        <v>86</v>
      </c>
      <c r="E210" s="50">
        <v>135</v>
      </c>
      <c r="F210" s="50" t="s">
        <v>2063</v>
      </c>
      <c r="G210" s="50"/>
      <c r="H210" s="50">
        <v>1.9</v>
      </c>
      <c r="I210" s="50"/>
      <c r="J210" s="50">
        <v>0</v>
      </c>
      <c r="K210" s="50" t="s">
        <v>1779</v>
      </c>
      <c r="L210" s="50" t="s">
        <v>164</v>
      </c>
      <c r="M210" s="50" t="s">
        <v>1760</v>
      </c>
      <c r="N210" s="50">
        <v>15.5</v>
      </c>
      <c r="O210" s="104" t="s">
        <v>700</v>
      </c>
      <c r="P210" s="50"/>
      <c r="Q210" s="105">
        <v>29939</v>
      </c>
    </row>
    <row r="211" spans="1:17" ht="15" customHeight="1" x14ac:dyDescent="0.25">
      <c r="A211" s="49" t="s">
        <v>2064</v>
      </c>
      <c r="B211" s="50" t="s">
        <v>1782</v>
      </c>
      <c r="C211" s="50" t="s">
        <v>51</v>
      </c>
      <c r="D211" s="50" t="s">
        <v>96</v>
      </c>
      <c r="E211" s="50">
        <v>486</v>
      </c>
      <c r="F211" s="50" t="s">
        <v>920</v>
      </c>
      <c r="G211" s="50"/>
      <c r="H211" s="50">
        <v>8.1999999999999993</v>
      </c>
      <c r="I211" s="50"/>
      <c r="J211" s="50">
        <v>0</v>
      </c>
      <c r="K211" s="50" t="s">
        <v>1836</v>
      </c>
      <c r="L211" s="50" t="s">
        <v>203</v>
      </c>
      <c r="M211" s="50" t="s">
        <v>1790</v>
      </c>
      <c r="N211" s="50">
        <v>12.3</v>
      </c>
      <c r="O211" s="104" t="s">
        <v>700</v>
      </c>
      <c r="P211" s="50"/>
      <c r="Q211" s="105">
        <v>75272</v>
      </c>
    </row>
    <row r="212" spans="1:17" ht="15" customHeight="1" x14ac:dyDescent="0.25">
      <c r="A212" s="49" t="s">
        <v>2065</v>
      </c>
      <c r="B212" s="50" t="s">
        <v>1819</v>
      </c>
      <c r="C212" s="50" t="s">
        <v>103</v>
      </c>
      <c r="D212" s="50" t="s">
        <v>51</v>
      </c>
      <c r="E212" s="50">
        <v>350</v>
      </c>
      <c r="F212" s="50" t="s">
        <v>1188</v>
      </c>
      <c r="G212" s="50"/>
      <c r="H212" s="50">
        <v>4.7</v>
      </c>
      <c r="I212" s="50"/>
      <c r="J212" s="50">
        <v>0</v>
      </c>
      <c r="K212" s="50" t="s">
        <v>1769</v>
      </c>
      <c r="L212" s="50" t="s">
        <v>204</v>
      </c>
      <c r="M212" s="50" t="s">
        <v>1790</v>
      </c>
      <c r="N212" s="50">
        <v>7</v>
      </c>
      <c r="O212" s="104" t="s">
        <v>700</v>
      </c>
      <c r="P212" s="50"/>
      <c r="Q212" s="105">
        <v>66389</v>
      </c>
    </row>
    <row r="213" spans="1:17" ht="15" customHeight="1" x14ac:dyDescent="0.25">
      <c r="A213" s="49" t="s">
        <v>2066</v>
      </c>
      <c r="B213" s="50" t="s">
        <v>1758</v>
      </c>
      <c r="C213" s="50" t="s">
        <v>86</v>
      </c>
      <c r="D213" s="50" t="s">
        <v>51</v>
      </c>
      <c r="E213" s="50">
        <v>165</v>
      </c>
      <c r="F213" s="50" t="s">
        <v>1304</v>
      </c>
      <c r="G213" s="50" t="s">
        <v>1936</v>
      </c>
      <c r="H213" s="50">
        <v>2.8</v>
      </c>
      <c r="I213" s="50">
        <v>3.2</v>
      </c>
      <c r="J213" s="50">
        <v>0.4</v>
      </c>
      <c r="K213" s="50" t="s">
        <v>1783</v>
      </c>
      <c r="L213" s="50" t="s">
        <v>228</v>
      </c>
      <c r="M213" s="50" t="s">
        <v>1765</v>
      </c>
      <c r="N213" s="50">
        <v>28.5</v>
      </c>
      <c r="O213" s="104" t="s">
        <v>1761</v>
      </c>
      <c r="P213" s="50" t="s">
        <v>1762</v>
      </c>
      <c r="Q213" s="105">
        <v>39367</v>
      </c>
    </row>
    <row r="214" spans="1:17" ht="15" customHeight="1" x14ac:dyDescent="0.25">
      <c r="A214" s="49" t="s">
        <v>2067</v>
      </c>
      <c r="B214" s="50" t="s">
        <v>1758</v>
      </c>
      <c r="C214" s="50" t="s">
        <v>86</v>
      </c>
      <c r="D214" s="50" t="s">
        <v>51</v>
      </c>
      <c r="E214" s="50">
        <v>165</v>
      </c>
      <c r="F214" s="50" t="s">
        <v>1873</v>
      </c>
      <c r="G214" s="50"/>
      <c r="H214" s="50">
        <v>2.5</v>
      </c>
      <c r="I214" s="50"/>
      <c r="J214" s="50">
        <v>0</v>
      </c>
      <c r="K214" s="50" t="s">
        <v>1797</v>
      </c>
      <c r="L214" s="50" t="s">
        <v>227</v>
      </c>
      <c r="M214" s="50" t="s">
        <v>731</v>
      </c>
      <c r="N214" s="50">
        <v>29.6</v>
      </c>
      <c r="O214" s="104" t="s">
        <v>700</v>
      </c>
      <c r="P214" s="50"/>
      <c r="Q214" s="105">
        <v>28284</v>
      </c>
    </row>
    <row r="215" spans="1:17" ht="15" customHeight="1" x14ac:dyDescent="0.25">
      <c r="A215" s="49" t="s">
        <v>2068</v>
      </c>
      <c r="B215" s="50" t="s">
        <v>1819</v>
      </c>
      <c r="C215" s="50" t="s">
        <v>103</v>
      </c>
      <c r="D215" s="50" t="s">
        <v>51</v>
      </c>
      <c r="E215" s="50">
        <v>350</v>
      </c>
      <c r="F215" s="50" t="s">
        <v>2052</v>
      </c>
      <c r="G215" s="50" t="s">
        <v>2052</v>
      </c>
      <c r="H215" s="50">
        <v>6.4</v>
      </c>
      <c r="I215" s="50">
        <v>9.4</v>
      </c>
      <c r="J215" s="50">
        <v>3</v>
      </c>
      <c r="K215" s="50" t="s">
        <v>1797</v>
      </c>
      <c r="L215" s="50" t="s">
        <v>174</v>
      </c>
      <c r="M215" s="50" t="s">
        <v>1790</v>
      </c>
      <c r="N215" s="50">
        <v>6.9</v>
      </c>
      <c r="O215" s="104" t="s">
        <v>1761</v>
      </c>
      <c r="P215" s="50" t="s">
        <v>1808</v>
      </c>
      <c r="Q215" s="105">
        <v>76358</v>
      </c>
    </row>
    <row r="216" spans="1:17" ht="15" customHeight="1" x14ac:dyDescent="0.25">
      <c r="A216" s="49" t="s">
        <v>2069</v>
      </c>
      <c r="B216" s="50" t="s">
        <v>1855</v>
      </c>
      <c r="C216" s="50" t="s">
        <v>68</v>
      </c>
      <c r="D216" s="50" t="s">
        <v>93</v>
      </c>
      <c r="E216" s="50">
        <v>67</v>
      </c>
      <c r="F216" s="50" t="s">
        <v>1402</v>
      </c>
      <c r="G216" s="50" t="s">
        <v>1402</v>
      </c>
      <c r="H216" s="50">
        <v>0.9</v>
      </c>
      <c r="I216" s="50">
        <v>1.2</v>
      </c>
      <c r="J216" s="50">
        <v>0.3</v>
      </c>
      <c r="K216" s="50" t="s">
        <v>1779</v>
      </c>
      <c r="L216" s="50" t="s">
        <v>129</v>
      </c>
      <c r="M216" s="50" t="s">
        <v>1760</v>
      </c>
      <c r="N216" s="50">
        <v>9.4</v>
      </c>
      <c r="O216" s="104" t="s">
        <v>1761</v>
      </c>
      <c r="P216" s="50" t="s">
        <v>1808</v>
      </c>
      <c r="Q216" s="105">
        <v>10413</v>
      </c>
    </row>
    <row r="217" spans="1:17" ht="15" customHeight="1" x14ac:dyDescent="0.25">
      <c r="A217" s="49" t="s">
        <v>2070</v>
      </c>
      <c r="B217" s="50" t="s">
        <v>1768</v>
      </c>
      <c r="C217" s="50" t="s">
        <v>51</v>
      </c>
      <c r="D217" s="50" t="s">
        <v>103</v>
      </c>
      <c r="E217" s="50">
        <v>350</v>
      </c>
      <c r="F217" s="50" t="s">
        <v>1584</v>
      </c>
      <c r="G217" s="50" t="s">
        <v>1579</v>
      </c>
      <c r="H217" s="50">
        <v>6.5</v>
      </c>
      <c r="I217" s="50">
        <v>8.6999999999999993</v>
      </c>
      <c r="J217" s="50">
        <v>2.2000000000000002</v>
      </c>
      <c r="K217" s="50" t="s">
        <v>1841</v>
      </c>
      <c r="L217" s="50" t="s">
        <v>159</v>
      </c>
      <c r="M217" s="50" t="s">
        <v>1770</v>
      </c>
      <c r="N217" s="50">
        <v>3</v>
      </c>
      <c r="O217" s="104" t="s">
        <v>1761</v>
      </c>
      <c r="P217" s="50" t="s">
        <v>1820</v>
      </c>
      <c r="Q217" s="105">
        <v>42917</v>
      </c>
    </row>
    <row r="218" spans="1:17" ht="15" customHeight="1" x14ac:dyDescent="0.25">
      <c r="A218" s="49" t="s">
        <v>2071</v>
      </c>
      <c r="B218" s="50" t="s">
        <v>1819</v>
      </c>
      <c r="C218" s="50" t="s">
        <v>103</v>
      </c>
      <c r="D218" s="50" t="s">
        <v>51</v>
      </c>
      <c r="E218" s="50">
        <v>350</v>
      </c>
      <c r="F218" s="50" t="s">
        <v>1238</v>
      </c>
      <c r="G218" s="50" t="s">
        <v>1909</v>
      </c>
      <c r="H218" s="50">
        <v>5.2</v>
      </c>
      <c r="I218" s="50">
        <v>5.7</v>
      </c>
      <c r="J218" s="50">
        <v>0.5</v>
      </c>
      <c r="K218" s="50" t="s">
        <v>1836</v>
      </c>
      <c r="L218" s="50" t="s">
        <v>139</v>
      </c>
      <c r="M218" s="50" t="s">
        <v>1770</v>
      </c>
      <c r="N218" s="50">
        <v>18.399999999999999</v>
      </c>
      <c r="O218" s="104" t="s">
        <v>1761</v>
      </c>
      <c r="P218" s="50" t="s">
        <v>1808</v>
      </c>
      <c r="Q218" s="105">
        <v>55748</v>
      </c>
    </row>
    <row r="219" spans="1:17" ht="15" customHeight="1" x14ac:dyDescent="0.25">
      <c r="A219" s="49" t="s">
        <v>2072</v>
      </c>
      <c r="B219" s="50" t="s">
        <v>1825</v>
      </c>
      <c r="C219" s="50" t="s">
        <v>103</v>
      </c>
      <c r="D219" s="50" t="s">
        <v>72</v>
      </c>
      <c r="E219" s="50">
        <v>64</v>
      </c>
      <c r="F219" s="50" t="s">
        <v>1418</v>
      </c>
      <c r="G219" s="50" t="s">
        <v>1597</v>
      </c>
      <c r="H219" s="50">
        <v>0.8</v>
      </c>
      <c r="I219" s="50">
        <v>1.2</v>
      </c>
      <c r="J219" s="50">
        <v>0.4</v>
      </c>
      <c r="K219" s="50" t="s">
        <v>1783</v>
      </c>
      <c r="L219" s="50" t="s">
        <v>210</v>
      </c>
      <c r="M219" s="50" t="s">
        <v>1790</v>
      </c>
      <c r="N219" s="50">
        <v>9.1</v>
      </c>
      <c r="O219" s="104" t="s">
        <v>1761</v>
      </c>
      <c r="P219" s="50" t="s">
        <v>1762</v>
      </c>
      <c r="Q219" s="105">
        <v>11701</v>
      </c>
    </row>
    <row r="220" spans="1:17" ht="15" customHeight="1" x14ac:dyDescent="0.25">
      <c r="A220" s="49" t="s">
        <v>2073</v>
      </c>
      <c r="B220" s="50" t="s">
        <v>1805</v>
      </c>
      <c r="C220" s="50" t="s">
        <v>51</v>
      </c>
      <c r="D220" s="50" t="s">
        <v>131</v>
      </c>
      <c r="E220" s="50">
        <v>44</v>
      </c>
      <c r="F220" s="50" t="s">
        <v>424</v>
      </c>
      <c r="G220" s="50" t="s">
        <v>1833</v>
      </c>
      <c r="H220" s="50">
        <v>0.6</v>
      </c>
      <c r="I220" s="50">
        <v>0.7</v>
      </c>
      <c r="J220" s="50">
        <v>0.1</v>
      </c>
      <c r="K220" s="50" t="s">
        <v>1841</v>
      </c>
      <c r="L220" s="50" t="s">
        <v>190</v>
      </c>
      <c r="M220" s="50" t="s">
        <v>1760</v>
      </c>
      <c r="N220" s="50">
        <v>23</v>
      </c>
      <c r="O220" s="104" t="s">
        <v>1761</v>
      </c>
      <c r="P220" s="50" t="s">
        <v>1808</v>
      </c>
      <c r="Q220" s="105">
        <v>7553</v>
      </c>
    </row>
    <row r="221" spans="1:17" ht="15" customHeight="1" x14ac:dyDescent="0.25">
      <c r="A221" s="49" t="s">
        <v>2074</v>
      </c>
      <c r="B221" s="50" t="s">
        <v>1822</v>
      </c>
      <c r="C221" s="50" t="s">
        <v>96</v>
      </c>
      <c r="D221" s="50" t="s">
        <v>83</v>
      </c>
      <c r="E221" s="50">
        <v>120</v>
      </c>
      <c r="F221" s="50" t="s">
        <v>1863</v>
      </c>
      <c r="G221" s="50" t="s">
        <v>764</v>
      </c>
      <c r="H221" s="50">
        <v>1.8</v>
      </c>
      <c r="I221" s="50">
        <v>1.7</v>
      </c>
      <c r="J221" s="50">
        <v>0</v>
      </c>
      <c r="K221" s="50" t="s">
        <v>1754</v>
      </c>
      <c r="L221" s="50" t="s">
        <v>169</v>
      </c>
      <c r="M221" s="50" t="s">
        <v>1760</v>
      </c>
      <c r="N221" s="50">
        <v>4.7</v>
      </c>
      <c r="O221" s="104" t="s">
        <v>1761</v>
      </c>
      <c r="P221" s="50" t="s">
        <v>1780</v>
      </c>
      <c r="Q221" s="105">
        <v>17040</v>
      </c>
    </row>
    <row r="222" spans="1:17" ht="15" customHeight="1" x14ac:dyDescent="0.25">
      <c r="A222" s="49" t="s">
        <v>2075</v>
      </c>
      <c r="B222" s="50" t="s">
        <v>1777</v>
      </c>
      <c r="C222" s="50" t="s">
        <v>68</v>
      </c>
      <c r="D222" s="50" t="s">
        <v>86</v>
      </c>
      <c r="E222" s="50">
        <v>135</v>
      </c>
      <c r="F222" s="50" t="s">
        <v>1333</v>
      </c>
      <c r="G222" s="50" t="s">
        <v>1333</v>
      </c>
      <c r="H222" s="50">
        <v>2.6</v>
      </c>
      <c r="I222" s="50">
        <v>3.2</v>
      </c>
      <c r="J222" s="50">
        <v>0.6</v>
      </c>
      <c r="K222" s="50" t="s">
        <v>1836</v>
      </c>
      <c r="L222" s="50" t="s">
        <v>247</v>
      </c>
      <c r="M222" s="50" t="s">
        <v>1770</v>
      </c>
      <c r="N222" s="50">
        <v>14.5</v>
      </c>
      <c r="O222" s="104" t="s">
        <v>1761</v>
      </c>
      <c r="P222" s="50" t="s">
        <v>1808</v>
      </c>
      <c r="Q222" s="105">
        <v>29668</v>
      </c>
    </row>
    <row r="223" spans="1:17" ht="15" customHeight="1" x14ac:dyDescent="0.25">
      <c r="A223" s="49" t="s">
        <v>2076</v>
      </c>
      <c r="B223" s="50" t="s">
        <v>1812</v>
      </c>
      <c r="C223" s="50" t="s">
        <v>86</v>
      </c>
      <c r="D223" s="50" t="s">
        <v>68</v>
      </c>
      <c r="E223" s="50">
        <v>135</v>
      </c>
      <c r="F223" s="50" t="s">
        <v>706</v>
      </c>
      <c r="G223" s="50" t="s">
        <v>1485</v>
      </c>
      <c r="H223" s="50">
        <v>2.2000000000000002</v>
      </c>
      <c r="I223" s="50">
        <v>3.1</v>
      </c>
      <c r="J223" s="50">
        <v>0.9</v>
      </c>
      <c r="K223" s="50" t="s">
        <v>1807</v>
      </c>
      <c r="L223" s="50" t="s">
        <v>87</v>
      </c>
      <c r="M223" s="50" t="s">
        <v>1760</v>
      </c>
      <c r="N223" s="50">
        <v>20.8</v>
      </c>
      <c r="O223" s="104" t="s">
        <v>1761</v>
      </c>
      <c r="P223" s="50" t="s">
        <v>1798</v>
      </c>
      <c r="Q223" s="105">
        <v>29451</v>
      </c>
    </row>
    <row r="224" spans="1:17" ht="15" customHeight="1" x14ac:dyDescent="0.25">
      <c r="A224" s="49" t="s">
        <v>2077</v>
      </c>
      <c r="B224" s="50" t="s">
        <v>1758</v>
      </c>
      <c r="C224" s="50" t="s">
        <v>86</v>
      </c>
      <c r="D224" s="50" t="s">
        <v>51</v>
      </c>
      <c r="E224" s="50">
        <v>165</v>
      </c>
      <c r="F224" s="50" t="s">
        <v>2078</v>
      </c>
      <c r="G224" s="50" t="s">
        <v>1566</v>
      </c>
      <c r="H224" s="50">
        <v>2.8</v>
      </c>
      <c r="I224" s="50">
        <v>3.5</v>
      </c>
      <c r="J224" s="50">
        <v>0.7</v>
      </c>
      <c r="K224" s="50" t="s">
        <v>1754</v>
      </c>
      <c r="L224" s="50" t="s">
        <v>150</v>
      </c>
      <c r="M224" s="50" t="s">
        <v>1760</v>
      </c>
      <c r="N224" s="50">
        <v>14.1</v>
      </c>
      <c r="O224" s="104" t="s">
        <v>1761</v>
      </c>
      <c r="P224" s="50" t="s">
        <v>1808</v>
      </c>
      <c r="Q224" s="105">
        <v>39560</v>
      </c>
    </row>
    <row r="225" spans="1:17" ht="15" customHeight="1" x14ac:dyDescent="0.25">
      <c r="A225" s="49" t="s">
        <v>2079</v>
      </c>
      <c r="B225" s="50" t="s">
        <v>1786</v>
      </c>
      <c r="C225" s="50" t="s">
        <v>131</v>
      </c>
      <c r="D225" s="50" t="s">
        <v>119</v>
      </c>
      <c r="E225" s="50">
        <v>360</v>
      </c>
      <c r="F225" s="50" t="s">
        <v>1163</v>
      </c>
      <c r="G225" s="50" t="s">
        <v>1163</v>
      </c>
      <c r="H225" s="50">
        <v>5</v>
      </c>
      <c r="I225" s="50">
        <v>7.1</v>
      </c>
      <c r="J225" s="50">
        <v>2.1</v>
      </c>
      <c r="K225" s="50" t="s">
        <v>1807</v>
      </c>
      <c r="L225" s="50" t="s">
        <v>223</v>
      </c>
      <c r="M225" s="50" t="s">
        <v>1784</v>
      </c>
      <c r="N225" s="50">
        <v>4.0999999999999996</v>
      </c>
      <c r="O225" s="104" t="s">
        <v>1761</v>
      </c>
      <c r="P225" s="50" t="s">
        <v>1808</v>
      </c>
      <c r="Q225" s="105">
        <v>84642</v>
      </c>
    </row>
    <row r="226" spans="1:17" ht="15" customHeight="1" x14ac:dyDescent="0.25">
      <c r="A226" s="49" t="s">
        <v>2080</v>
      </c>
      <c r="B226" s="50" t="s">
        <v>1825</v>
      </c>
      <c r="C226" s="50" t="s">
        <v>103</v>
      </c>
      <c r="D226" s="50" t="s">
        <v>72</v>
      </c>
      <c r="E226" s="50">
        <v>64</v>
      </c>
      <c r="F226" s="50" t="s">
        <v>831</v>
      </c>
      <c r="G226" s="50" t="s">
        <v>877</v>
      </c>
      <c r="H226" s="50">
        <v>1</v>
      </c>
      <c r="I226" s="50">
        <v>1.1000000000000001</v>
      </c>
      <c r="J226" s="50">
        <v>0.1</v>
      </c>
      <c r="K226" s="50" t="s">
        <v>1807</v>
      </c>
      <c r="L226" s="50" t="s">
        <v>281</v>
      </c>
      <c r="M226" s="50" t="s">
        <v>1770</v>
      </c>
      <c r="N226" s="50">
        <v>16.600000000000001</v>
      </c>
      <c r="O226" s="104" t="s">
        <v>1761</v>
      </c>
      <c r="P226" s="50" t="s">
        <v>1762</v>
      </c>
      <c r="Q226" s="105">
        <v>13670</v>
      </c>
    </row>
    <row r="227" spans="1:17" ht="15" customHeight="1" x14ac:dyDescent="0.25">
      <c r="A227" s="49" t="s">
        <v>2081</v>
      </c>
      <c r="B227" s="50" t="s">
        <v>1805</v>
      </c>
      <c r="C227" s="50" t="s">
        <v>51</v>
      </c>
      <c r="D227" s="50" t="s">
        <v>131</v>
      </c>
      <c r="E227" s="50">
        <v>44</v>
      </c>
      <c r="F227" s="50" t="s">
        <v>1963</v>
      </c>
      <c r="G227" s="50" t="s">
        <v>837</v>
      </c>
      <c r="H227" s="50">
        <v>0.6</v>
      </c>
      <c r="I227" s="50">
        <v>0.8</v>
      </c>
      <c r="J227" s="50">
        <v>0.2</v>
      </c>
      <c r="K227" s="50" t="s">
        <v>1797</v>
      </c>
      <c r="L227" s="50" t="s">
        <v>234</v>
      </c>
      <c r="M227" s="50" t="s">
        <v>1784</v>
      </c>
      <c r="N227" s="50">
        <v>5.4</v>
      </c>
      <c r="O227" s="104" t="s">
        <v>1761</v>
      </c>
      <c r="P227" s="50" t="s">
        <v>1762</v>
      </c>
      <c r="Q227" s="105">
        <v>8251</v>
      </c>
    </row>
    <row r="228" spans="1:17" ht="15" customHeight="1" x14ac:dyDescent="0.25">
      <c r="A228" s="49" t="s">
        <v>2082</v>
      </c>
      <c r="B228" s="50" t="s">
        <v>1812</v>
      </c>
      <c r="C228" s="50" t="s">
        <v>86</v>
      </c>
      <c r="D228" s="50" t="s">
        <v>68</v>
      </c>
      <c r="E228" s="50">
        <v>135</v>
      </c>
      <c r="F228" s="50" t="s">
        <v>819</v>
      </c>
      <c r="G228" s="50"/>
      <c r="H228" s="50">
        <v>1.7</v>
      </c>
      <c r="I228" s="50"/>
      <c r="J228" s="50">
        <v>0</v>
      </c>
      <c r="K228" s="50" t="s">
        <v>1794</v>
      </c>
      <c r="L228" s="50" t="s">
        <v>281</v>
      </c>
      <c r="M228" s="50" t="s">
        <v>1784</v>
      </c>
      <c r="N228" s="50">
        <v>29.9</v>
      </c>
      <c r="O228" s="104" t="s">
        <v>700</v>
      </c>
      <c r="P228" s="50"/>
      <c r="Q228" s="105">
        <v>19082</v>
      </c>
    </row>
    <row r="229" spans="1:17" ht="15" customHeight="1" x14ac:dyDescent="0.25">
      <c r="A229" s="49" t="s">
        <v>2083</v>
      </c>
      <c r="B229" s="50" t="s">
        <v>1819</v>
      </c>
      <c r="C229" s="50" t="s">
        <v>103</v>
      </c>
      <c r="D229" s="50" t="s">
        <v>51</v>
      </c>
      <c r="E229" s="50">
        <v>350</v>
      </c>
      <c r="F229" s="50" t="s">
        <v>1672</v>
      </c>
      <c r="G229" s="50" t="s">
        <v>1672</v>
      </c>
      <c r="H229" s="50">
        <v>5.6</v>
      </c>
      <c r="I229" s="50">
        <v>7.4</v>
      </c>
      <c r="J229" s="50">
        <v>1.8</v>
      </c>
      <c r="K229" s="50" t="s">
        <v>1807</v>
      </c>
      <c r="L229" s="50" t="s">
        <v>210</v>
      </c>
      <c r="M229" s="50" t="s">
        <v>1765</v>
      </c>
      <c r="N229" s="50">
        <v>29.8</v>
      </c>
      <c r="O229" s="104" t="s">
        <v>1761</v>
      </c>
      <c r="P229" s="50" t="s">
        <v>1808</v>
      </c>
      <c r="Q229" s="105">
        <v>66467</v>
      </c>
    </row>
    <row r="230" spans="1:17" ht="15" customHeight="1" x14ac:dyDescent="0.25">
      <c r="A230" s="49" t="s">
        <v>2084</v>
      </c>
      <c r="B230" s="50" t="s">
        <v>1764</v>
      </c>
      <c r="C230" s="50" t="s">
        <v>51</v>
      </c>
      <c r="D230" s="50" t="s">
        <v>62</v>
      </c>
      <c r="E230" s="50">
        <v>160</v>
      </c>
      <c r="F230" s="50" t="s">
        <v>967</v>
      </c>
      <c r="G230" s="50"/>
      <c r="H230" s="50">
        <v>2.5</v>
      </c>
      <c r="I230" s="50"/>
      <c r="J230" s="50">
        <v>0</v>
      </c>
      <c r="K230" s="50" t="s">
        <v>1807</v>
      </c>
      <c r="L230" s="50" t="s">
        <v>102</v>
      </c>
      <c r="M230" s="50" t="s">
        <v>1760</v>
      </c>
      <c r="N230" s="50">
        <v>19.3</v>
      </c>
      <c r="O230" s="104" t="s">
        <v>700</v>
      </c>
      <c r="P230" s="50"/>
      <c r="Q230" s="105">
        <v>26375</v>
      </c>
    </row>
    <row r="231" spans="1:17" ht="15" customHeight="1" x14ac:dyDescent="0.25">
      <c r="A231" s="49" t="s">
        <v>2085</v>
      </c>
      <c r="B231" s="50" t="s">
        <v>1782</v>
      </c>
      <c r="C231" s="50" t="s">
        <v>51</v>
      </c>
      <c r="D231" s="50" t="s">
        <v>96</v>
      </c>
      <c r="E231" s="50">
        <v>486</v>
      </c>
      <c r="F231" s="50" t="s">
        <v>319</v>
      </c>
      <c r="G231" s="50" t="s">
        <v>892</v>
      </c>
      <c r="H231" s="50">
        <v>6.5</v>
      </c>
      <c r="I231" s="50">
        <v>8.8000000000000007</v>
      </c>
      <c r="J231" s="50">
        <v>2.2999999999999998</v>
      </c>
      <c r="K231" s="50" t="s">
        <v>1817</v>
      </c>
      <c r="L231" s="50" t="s">
        <v>199</v>
      </c>
      <c r="M231" s="50" t="s">
        <v>1755</v>
      </c>
      <c r="N231" s="50">
        <v>22</v>
      </c>
      <c r="O231" s="104" t="s">
        <v>1761</v>
      </c>
      <c r="P231" s="50" t="s">
        <v>1775</v>
      </c>
      <c r="Q231" s="105">
        <v>92501</v>
      </c>
    </row>
    <row r="232" spans="1:17" ht="15" customHeight="1" x14ac:dyDescent="0.25">
      <c r="A232" s="49" t="s">
        <v>2086</v>
      </c>
      <c r="B232" s="50" t="s">
        <v>1753</v>
      </c>
      <c r="C232" s="50" t="s">
        <v>96</v>
      </c>
      <c r="D232" s="50" t="s">
        <v>51</v>
      </c>
      <c r="E232" s="50">
        <v>486</v>
      </c>
      <c r="F232" s="50" t="s">
        <v>1861</v>
      </c>
      <c r="G232" s="50" t="s">
        <v>389</v>
      </c>
      <c r="H232" s="50">
        <v>8.9</v>
      </c>
      <c r="I232" s="50">
        <v>8.6999999999999993</v>
      </c>
      <c r="J232" s="50">
        <v>0</v>
      </c>
      <c r="K232" s="50" t="s">
        <v>1841</v>
      </c>
      <c r="L232" s="50" t="s">
        <v>145</v>
      </c>
      <c r="M232" s="50" t="s">
        <v>1760</v>
      </c>
      <c r="N232" s="50">
        <v>5.8</v>
      </c>
      <c r="O232" s="104" t="s">
        <v>1761</v>
      </c>
      <c r="P232" s="50" t="s">
        <v>1780</v>
      </c>
      <c r="Q232" s="105">
        <v>95427</v>
      </c>
    </row>
    <row r="233" spans="1:17" ht="15" customHeight="1" x14ac:dyDescent="0.25">
      <c r="A233" s="49" t="s">
        <v>2087</v>
      </c>
      <c r="B233" s="50" t="s">
        <v>1758</v>
      </c>
      <c r="C233" s="50" t="s">
        <v>86</v>
      </c>
      <c r="D233" s="50" t="s">
        <v>51</v>
      </c>
      <c r="E233" s="50">
        <v>165</v>
      </c>
      <c r="F233" s="50" t="s">
        <v>2019</v>
      </c>
      <c r="G233" s="50" t="s">
        <v>959</v>
      </c>
      <c r="H233" s="50">
        <v>2.2999999999999998</v>
      </c>
      <c r="I233" s="50">
        <v>2.9</v>
      </c>
      <c r="J233" s="50">
        <v>0.6</v>
      </c>
      <c r="K233" s="50" t="s">
        <v>1783</v>
      </c>
      <c r="L233" s="50" t="s">
        <v>244</v>
      </c>
      <c r="M233" s="50" t="s">
        <v>1760</v>
      </c>
      <c r="N233" s="50">
        <v>29</v>
      </c>
      <c r="O233" s="104" t="s">
        <v>1761</v>
      </c>
      <c r="P233" s="50" t="s">
        <v>1798</v>
      </c>
      <c r="Q233" s="105">
        <v>23406</v>
      </c>
    </row>
    <row r="234" spans="1:17" ht="15" customHeight="1" x14ac:dyDescent="0.25">
      <c r="A234" s="49" t="s">
        <v>2088</v>
      </c>
      <c r="B234" s="50" t="s">
        <v>1758</v>
      </c>
      <c r="C234" s="50" t="s">
        <v>86</v>
      </c>
      <c r="D234" s="50" t="s">
        <v>51</v>
      </c>
      <c r="E234" s="50">
        <v>165</v>
      </c>
      <c r="F234" s="50" t="s">
        <v>1186</v>
      </c>
      <c r="G234" s="50"/>
      <c r="H234" s="50">
        <v>2.1</v>
      </c>
      <c r="I234" s="50"/>
      <c r="J234" s="50">
        <v>0</v>
      </c>
      <c r="K234" s="50" t="s">
        <v>1783</v>
      </c>
      <c r="L234" s="50" t="s">
        <v>126</v>
      </c>
      <c r="M234" s="50" t="s">
        <v>731</v>
      </c>
      <c r="N234" s="50">
        <v>5.4</v>
      </c>
      <c r="O234" s="104" t="s">
        <v>700</v>
      </c>
      <c r="P234" s="50"/>
      <c r="Q234" s="105">
        <v>26736</v>
      </c>
    </row>
    <row r="235" spans="1:17" ht="15" customHeight="1" x14ac:dyDescent="0.25">
      <c r="A235" s="49" t="s">
        <v>2089</v>
      </c>
      <c r="B235" s="50" t="s">
        <v>1805</v>
      </c>
      <c r="C235" s="50" t="s">
        <v>51</v>
      </c>
      <c r="D235" s="50" t="s">
        <v>131</v>
      </c>
      <c r="E235" s="50">
        <v>44</v>
      </c>
      <c r="F235" s="50" t="s">
        <v>1239</v>
      </c>
      <c r="G235" s="50" t="s">
        <v>1307</v>
      </c>
      <c r="H235" s="50">
        <v>0.6</v>
      </c>
      <c r="I235" s="50">
        <v>0.6</v>
      </c>
      <c r="J235" s="50">
        <v>0</v>
      </c>
      <c r="K235" s="50" t="s">
        <v>1836</v>
      </c>
      <c r="L235" s="50" t="s">
        <v>260</v>
      </c>
      <c r="M235" s="50" t="s">
        <v>1790</v>
      </c>
      <c r="N235" s="50">
        <v>10.1</v>
      </c>
      <c r="O235" s="104" t="s">
        <v>1761</v>
      </c>
      <c r="P235" s="50" t="s">
        <v>1780</v>
      </c>
      <c r="Q235" s="105">
        <v>7529</v>
      </c>
    </row>
    <row r="236" spans="1:17" ht="15" customHeight="1" x14ac:dyDescent="0.25">
      <c r="A236" s="49" t="s">
        <v>2090</v>
      </c>
      <c r="B236" s="50" t="s">
        <v>1758</v>
      </c>
      <c r="C236" s="50" t="s">
        <v>86</v>
      </c>
      <c r="D236" s="50" t="s">
        <v>51</v>
      </c>
      <c r="E236" s="50">
        <v>165</v>
      </c>
      <c r="F236" s="50" t="s">
        <v>1951</v>
      </c>
      <c r="G236" s="50"/>
      <c r="H236" s="50">
        <v>2.7</v>
      </c>
      <c r="I236" s="50"/>
      <c r="J236" s="50">
        <v>0</v>
      </c>
      <c r="K236" s="50" t="s">
        <v>1817</v>
      </c>
      <c r="L236" s="50" t="s">
        <v>223</v>
      </c>
      <c r="M236" s="50" t="s">
        <v>1760</v>
      </c>
      <c r="N236" s="50">
        <v>16.2</v>
      </c>
      <c r="O236" s="104" t="s">
        <v>700</v>
      </c>
      <c r="P236" s="50"/>
      <c r="Q236" s="105">
        <v>37865</v>
      </c>
    </row>
    <row r="237" spans="1:17" ht="15" customHeight="1" x14ac:dyDescent="0.25">
      <c r="A237" s="49" t="s">
        <v>2091</v>
      </c>
      <c r="B237" s="50" t="s">
        <v>1792</v>
      </c>
      <c r="C237" s="50" t="s">
        <v>51</v>
      </c>
      <c r="D237" s="50" t="s">
        <v>86</v>
      </c>
      <c r="E237" s="50">
        <v>165</v>
      </c>
      <c r="F237" s="50" t="s">
        <v>1095</v>
      </c>
      <c r="G237" s="50" t="s">
        <v>1945</v>
      </c>
      <c r="H237" s="50">
        <v>2.2000000000000002</v>
      </c>
      <c r="I237" s="50">
        <v>2.1</v>
      </c>
      <c r="J237" s="50">
        <v>0</v>
      </c>
      <c r="K237" s="50" t="s">
        <v>1834</v>
      </c>
      <c r="L237" s="50" t="s">
        <v>203</v>
      </c>
      <c r="M237" s="50" t="s">
        <v>1790</v>
      </c>
      <c r="N237" s="50">
        <v>21</v>
      </c>
      <c r="O237" s="104" t="s">
        <v>1761</v>
      </c>
      <c r="P237" s="50" t="s">
        <v>1780</v>
      </c>
      <c r="Q237" s="105">
        <v>33787</v>
      </c>
    </row>
    <row r="238" spans="1:17" ht="15" customHeight="1" x14ac:dyDescent="0.25">
      <c r="A238" s="49" t="s">
        <v>2092</v>
      </c>
      <c r="B238" s="50" t="s">
        <v>1792</v>
      </c>
      <c r="C238" s="50" t="s">
        <v>51</v>
      </c>
      <c r="D238" s="50" t="s">
        <v>86</v>
      </c>
      <c r="E238" s="50">
        <v>165</v>
      </c>
      <c r="F238" s="50" t="s">
        <v>773</v>
      </c>
      <c r="G238" s="50" t="s">
        <v>773</v>
      </c>
      <c r="H238" s="50">
        <v>2.6</v>
      </c>
      <c r="I238" s="50">
        <v>3.7</v>
      </c>
      <c r="J238" s="50">
        <v>1.1000000000000001</v>
      </c>
      <c r="K238" s="50" t="s">
        <v>1754</v>
      </c>
      <c r="L238" s="50" t="s">
        <v>178</v>
      </c>
      <c r="M238" s="50" t="s">
        <v>1784</v>
      </c>
      <c r="N238" s="50">
        <v>13</v>
      </c>
      <c r="O238" s="104" t="s">
        <v>1761</v>
      </c>
      <c r="P238" s="50" t="s">
        <v>1820</v>
      </c>
      <c r="Q238" s="105">
        <v>27827</v>
      </c>
    </row>
    <row r="239" spans="1:17" ht="15" customHeight="1" x14ac:dyDescent="0.25">
      <c r="A239" s="49" t="s">
        <v>2093</v>
      </c>
      <c r="B239" s="50" t="s">
        <v>1805</v>
      </c>
      <c r="C239" s="50" t="s">
        <v>51</v>
      </c>
      <c r="D239" s="50" t="s">
        <v>131</v>
      </c>
      <c r="E239" s="50">
        <v>44</v>
      </c>
      <c r="F239" s="50" t="s">
        <v>1236</v>
      </c>
      <c r="G239" s="50" t="s">
        <v>427</v>
      </c>
      <c r="H239" s="50">
        <v>0.7</v>
      </c>
      <c r="I239" s="50">
        <v>0.8</v>
      </c>
      <c r="J239" s="50">
        <v>0.1</v>
      </c>
      <c r="K239" s="50" t="s">
        <v>1759</v>
      </c>
      <c r="L239" s="50" t="s">
        <v>56</v>
      </c>
      <c r="M239" s="50" t="s">
        <v>1755</v>
      </c>
      <c r="N239" s="50">
        <v>9.6999999999999993</v>
      </c>
      <c r="O239" s="104" t="s">
        <v>1761</v>
      </c>
      <c r="P239" s="50" t="s">
        <v>1775</v>
      </c>
      <c r="Q239" s="105">
        <v>10551</v>
      </c>
    </row>
    <row r="240" spans="1:17" ht="15" customHeight="1" x14ac:dyDescent="0.25">
      <c r="A240" s="49" t="s">
        <v>2094</v>
      </c>
      <c r="B240" s="50" t="s">
        <v>1772</v>
      </c>
      <c r="C240" s="50" t="s">
        <v>51</v>
      </c>
      <c r="D240" s="50" t="s">
        <v>91</v>
      </c>
      <c r="E240" s="50">
        <v>64</v>
      </c>
      <c r="F240" s="50" t="s">
        <v>890</v>
      </c>
      <c r="G240" s="50" t="s">
        <v>890</v>
      </c>
      <c r="H240" s="50">
        <v>1.1000000000000001</v>
      </c>
      <c r="I240" s="50">
        <v>1.2</v>
      </c>
      <c r="J240" s="50">
        <v>0.1</v>
      </c>
      <c r="K240" s="50" t="s">
        <v>1803</v>
      </c>
      <c r="L240" s="50" t="s">
        <v>191</v>
      </c>
      <c r="M240" s="50" t="s">
        <v>1765</v>
      </c>
      <c r="N240" s="50">
        <v>29.9</v>
      </c>
      <c r="O240" s="104" t="s">
        <v>1761</v>
      </c>
      <c r="P240" s="50" t="s">
        <v>1775</v>
      </c>
      <c r="Q240" s="105">
        <v>14530</v>
      </c>
    </row>
    <row r="241" spans="1:17" ht="15" customHeight="1" x14ac:dyDescent="0.25">
      <c r="A241" s="49" t="s">
        <v>2095</v>
      </c>
      <c r="B241" s="50" t="s">
        <v>1777</v>
      </c>
      <c r="C241" s="50" t="s">
        <v>68</v>
      </c>
      <c r="D241" s="50" t="s">
        <v>86</v>
      </c>
      <c r="E241" s="50">
        <v>135</v>
      </c>
      <c r="F241" s="50" t="s">
        <v>2096</v>
      </c>
      <c r="G241" s="50"/>
      <c r="H241" s="50">
        <v>2.1</v>
      </c>
      <c r="I241" s="50"/>
      <c r="J241" s="50">
        <v>0</v>
      </c>
      <c r="K241" s="50" t="s">
        <v>1807</v>
      </c>
      <c r="L241" s="50" t="s">
        <v>211</v>
      </c>
      <c r="M241" s="50" t="s">
        <v>1784</v>
      </c>
      <c r="N241" s="50">
        <v>26.3</v>
      </c>
      <c r="O241" s="50" t="s">
        <v>1756</v>
      </c>
      <c r="P241" s="50"/>
      <c r="Q241" s="105">
        <v>30370</v>
      </c>
    </row>
    <row r="242" spans="1:17" ht="15" customHeight="1" x14ac:dyDescent="0.25">
      <c r="A242" s="49" t="s">
        <v>2097</v>
      </c>
      <c r="B242" s="50" t="s">
        <v>1782</v>
      </c>
      <c r="C242" s="50" t="s">
        <v>51</v>
      </c>
      <c r="D242" s="50" t="s">
        <v>96</v>
      </c>
      <c r="E242" s="50">
        <v>486</v>
      </c>
      <c r="F242" s="50" t="s">
        <v>1284</v>
      </c>
      <c r="G242" s="50"/>
      <c r="H242" s="50">
        <v>6.3</v>
      </c>
      <c r="I242" s="50"/>
      <c r="J242" s="50">
        <v>0</v>
      </c>
      <c r="K242" s="50" t="s">
        <v>1807</v>
      </c>
      <c r="L242" s="50" t="s">
        <v>270</v>
      </c>
      <c r="M242" s="50" t="s">
        <v>1784</v>
      </c>
      <c r="N242" s="50">
        <v>5.7</v>
      </c>
      <c r="O242" s="104" t="s">
        <v>700</v>
      </c>
      <c r="P242" s="50"/>
      <c r="Q242" s="105">
        <v>63553</v>
      </c>
    </row>
    <row r="243" spans="1:17" ht="15" customHeight="1" x14ac:dyDescent="0.25">
      <c r="A243" s="49" t="s">
        <v>2098</v>
      </c>
      <c r="B243" s="50" t="s">
        <v>1777</v>
      </c>
      <c r="C243" s="50" t="s">
        <v>68</v>
      </c>
      <c r="D243" s="50" t="s">
        <v>86</v>
      </c>
      <c r="E243" s="50">
        <v>135</v>
      </c>
      <c r="F243" s="50" t="s">
        <v>1027</v>
      </c>
      <c r="G243" s="50" t="s">
        <v>1614</v>
      </c>
      <c r="H243" s="50">
        <v>2</v>
      </c>
      <c r="I243" s="50">
        <v>2.8</v>
      </c>
      <c r="J243" s="50">
        <v>0.8</v>
      </c>
      <c r="K243" s="50" t="s">
        <v>1779</v>
      </c>
      <c r="L243" s="50" t="s">
        <v>170</v>
      </c>
      <c r="M243" s="50" t="s">
        <v>1765</v>
      </c>
      <c r="N243" s="50">
        <v>25.8</v>
      </c>
      <c r="O243" s="104" t="s">
        <v>1761</v>
      </c>
      <c r="P243" s="50" t="s">
        <v>1775</v>
      </c>
      <c r="Q243" s="105">
        <v>29142</v>
      </c>
    </row>
    <row r="244" spans="1:17" ht="15" customHeight="1" x14ac:dyDescent="0.25">
      <c r="A244" s="49" t="s">
        <v>2099</v>
      </c>
      <c r="B244" s="50" t="s">
        <v>1764</v>
      </c>
      <c r="C244" s="50" t="s">
        <v>51</v>
      </c>
      <c r="D244" s="50" t="s">
        <v>62</v>
      </c>
      <c r="E244" s="50">
        <v>160</v>
      </c>
      <c r="F244" s="50" t="s">
        <v>1945</v>
      </c>
      <c r="G244" s="50"/>
      <c r="H244" s="50">
        <v>2.1</v>
      </c>
      <c r="I244" s="50"/>
      <c r="J244" s="50">
        <v>0</v>
      </c>
      <c r="K244" s="50" t="s">
        <v>1783</v>
      </c>
      <c r="L244" s="50" t="s">
        <v>274</v>
      </c>
      <c r="M244" s="50" t="s">
        <v>1760</v>
      </c>
      <c r="N244" s="50">
        <v>15.7</v>
      </c>
      <c r="O244" s="104" t="s">
        <v>700</v>
      </c>
      <c r="P244" s="50"/>
      <c r="Q244" s="105">
        <v>27586</v>
      </c>
    </row>
    <row r="245" spans="1:17" ht="15" customHeight="1" x14ac:dyDescent="0.25">
      <c r="A245" s="49" t="s">
        <v>2100</v>
      </c>
      <c r="B245" s="50" t="s">
        <v>1777</v>
      </c>
      <c r="C245" s="50" t="s">
        <v>68</v>
      </c>
      <c r="D245" s="50" t="s">
        <v>86</v>
      </c>
      <c r="E245" s="50">
        <v>135</v>
      </c>
      <c r="F245" s="50" t="s">
        <v>979</v>
      </c>
      <c r="G245" s="50" t="s">
        <v>1418</v>
      </c>
      <c r="H245" s="50">
        <v>1.8</v>
      </c>
      <c r="I245" s="50">
        <v>1.7</v>
      </c>
      <c r="J245" s="50">
        <v>0</v>
      </c>
      <c r="K245" s="50" t="s">
        <v>1834</v>
      </c>
      <c r="L245" s="50" t="s">
        <v>126</v>
      </c>
      <c r="M245" s="50" t="s">
        <v>1784</v>
      </c>
      <c r="N245" s="50">
        <v>8.4</v>
      </c>
      <c r="O245" s="104" t="s">
        <v>1761</v>
      </c>
      <c r="P245" s="50" t="s">
        <v>1780</v>
      </c>
      <c r="Q245" s="105">
        <v>19687</v>
      </c>
    </row>
    <row r="246" spans="1:17" ht="15" customHeight="1" x14ac:dyDescent="0.25">
      <c r="A246" s="49" t="s">
        <v>2101</v>
      </c>
      <c r="B246" s="50" t="s">
        <v>1855</v>
      </c>
      <c r="C246" s="50" t="s">
        <v>68</v>
      </c>
      <c r="D246" s="50" t="s">
        <v>93</v>
      </c>
      <c r="E246" s="50">
        <v>67</v>
      </c>
      <c r="F246" s="50" t="s">
        <v>847</v>
      </c>
      <c r="G246" s="50" t="s">
        <v>1181</v>
      </c>
      <c r="H246" s="50">
        <v>0.9</v>
      </c>
      <c r="I246" s="50">
        <v>1</v>
      </c>
      <c r="J246" s="50">
        <v>0.1</v>
      </c>
      <c r="K246" s="50" t="s">
        <v>1817</v>
      </c>
      <c r="L246" s="50" t="s">
        <v>49</v>
      </c>
      <c r="M246" s="50" t="s">
        <v>1760</v>
      </c>
      <c r="N246" s="50">
        <v>8.6</v>
      </c>
      <c r="O246" s="104" t="s">
        <v>1761</v>
      </c>
      <c r="P246" s="50" t="s">
        <v>1808</v>
      </c>
      <c r="Q246" s="105">
        <v>12972</v>
      </c>
    </row>
    <row r="247" spans="1:17" ht="15" customHeight="1" x14ac:dyDescent="0.25">
      <c r="A247" s="49" t="s">
        <v>2102</v>
      </c>
      <c r="B247" s="50" t="s">
        <v>1825</v>
      </c>
      <c r="C247" s="50" t="s">
        <v>103</v>
      </c>
      <c r="D247" s="50" t="s">
        <v>72</v>
      </c>
      <c r="E247" s="50">
        <v>64</v>
      </c>
      <c r="F247" s="50" t="s">
        <v>1222</v>
      </c>
      <c r="G247" s="50"/>
      <c r="H247" s="50">
        <v>1.2</v>
      </c>
      <c r="I247" s="50"/>
      <c r="J247" s="50">
        <v>0</v>
      </c>
      <c r="K247" s="50" t="s">
        <v>1823</v>
      </c>
      <c r="L247" s="50" t="s">
        <v>137</v>
      </c>
      <c r="M247" s="50" t="s">
        <v>1760</v>
      </c>
      <c r="N247" s="50">
        <v>17.899999999999999</v>
      </c>
      <c r="O247" s="104" t="s">
        <v>1766</v>
      </c>
      <c r="P247" s="50"/>
      <c r="Q247" s="105">
        <v>14059</v>
      </c>
    </row>
    <row r="248" spans="1:17" ht="15" customHeight="1" x14ac:dyDescent="0.25">
      <c r="A248" s="49" t="s">
        <v>2103</v>
      </c>
      <c r="B248" s="50" t="s">
        <v>1758</v>
      </c>
      <c r="C248" s="50" t="s">
        <v>86</v>
      </c>
      <c r="D248" s="50" t="s">
        <v>51</v>
      </c>
      <c r="E248" s="50">
        <v>165</v>
      </c>
      <c r="F248" s="50" t="s">
        <v>1405</v>
      </c>
      <c r="G248" s="50" t="s">
        <v>1405</v>
      </c>
      <c r="H248" s="50">
        <v>2.7</v>
      </c>
      <c r="I248" s="50">
        <v>4</v>
      </c>
      <c r="J248" s="50">
        <v>1.3</v>
      </c>
      <c r="K248" s="50" t="s">
        <v>1823</v>
      </c>
      <c r="L248" s="50" t="s">
        <v>275</v>
      </c>
      <c r="M248" s="50" t="s">
        <v>731</v>
      </c>
      <c r="N248" s="50">
        <v>9.6</v>
      </c>
      <c r="O248" s="104" t="s">
        <v>1761</v>
      </c>
      <c r="P248" s="50" t="s">
        <v>1798</v>
      </c>
      <c r="Q248" s="105">
        <v>26460</v>
      </c>
    </row>
    <row r="249" spans="1:17" ht="15" customHeight="1" x14ac:dyDescent="0.25">
      <c r="A249" s="49" t="s">
        <v>2104</v>
      </c>
      <c r="B249" s="50" t="s">
        <v>1786</v>
      </c>
      <c r="C249" s="50" t="s">
        <v>131</v>
      </c>
      <c r="D249" s="50" t="s">
        <v>119</v>
      </c>
      <c r="E249" s="50">
        <v>360</v>
      </c>
      <c r="F249" s="50" t="s">
        <v>1843</v>
      </c>
      <c r="G249" s="50" t="s">
        <v>2105</v>
      </c>
      <c r="H249" s="50">
        <v>6.6</v>
      </c>
      <c r="I249" s="50">
        <v>6.7</v>
      </c>
      <c r="J249" s="50">
        <v>0.1</v>
      </c>
      <c r="K249" s="50" t="s">
        <v>1797</v>
      </c>
      <c r="L249" s="50" t="s">
        <v>195</v>
      </c>
      <c r="M249" s="50" t="s">
        <v>731</v>
      </c>
      <c r="N249" s="50">
        <v>25.1</v>
      </c>
      <c r="O249" s="104" t="s">
        <v>1761</v>
      </c>
      <c r="P249" s="50" t="s">
        <v>1762</v>
      </c>
      <c r="Q249" s="105">
        <v>75846</v>
      </c>
    </row>
    <row r="250" spans="1:17" ht="15" customHeight="1" x14ac:dyDescent="0.25">
      <c r="A250" s="49" t="s">
        <v>2106</v>
      </c>
      <c r="B250" s="50" t="s">
        <v>1812</v>
      </c>
      <c r="C250" s="50" t="s">
        <v>86</v>
      </c>
      <c r="D250" s="50" t="s">
        <v>68</v>
      </c>
      <c r="E250" s="50">
        <v>135</v>
      </c>
      <c r="F250" s="50" t="s">
        <v>1275</v>
      </c>
      <c r="G250" s="50"/>
      <c r="H250" s="50">
        <v>2</v>
      </c>
      <c r="I250" s="50"/>
      <c r="J250" s="50">
        <v>0</v>
      </c>
      <c r="K250" s="50" t="s">
        <v>1797</v>
      </c>
      <c r="L250" s="50" t="s">
        <v>287</v>
      </c>
      <c r="M250" s="50" t="s">
        <v>1784</v>
      </c>
      <c r="N250" s="50">
        <v>15.9</v>
      </c>
      <c r="O250" s="50" t="s">
        <v>1756</v>
      </c>
      <c r="P250" s="50"/>
      <c r="Q250" s="105">
        <v>28258</v>
      </c>
    </row>
    <row r="251" spans="1:17" ht="15" customHeight="1" x14ac:dyDescent="0.25">
      <c r="A251" s="49" t="s">
        <v>2107</v>
      </c>
      <c r="B251" s="50" t="s">
        <v>1792</v>
      </c>
      <c r="C251" s="50" t="s">
        <v>51</v>
      </c>
      <c r="D251" s="50" t="s">
        <v>86</v>
      </c>
      <c r="E251" s="50">
        <v>165</v>
      </c>
      <c r="F251" s="50" t="s">
        <v>1905</v>
      </c>
      <c r="G251" s="50" t="s">
        <v>398</v>
      </c>
      <c r="H251" s="50">
        <v>3</v>
      </c>
      <c r="I251" s="50">
        <v>3.9</v>
      </c>
      <c r="J251" s="50">
        <v>0.9</v>
      </c>
      <c r="K251" s="50" t="s">
        <v>1783</v>
      </c>
      <c r="L251" s="50" t="s">
        <v>143</v>
      </c>
      <c r="M251" s="50" t="s">
        <v>1784</v>
      </c>
      <c r="N251" s="50">
        <v>13.3</v>
      </c>
      <c r="O251" s="104" t="s">
        <v>1761</v>
      </c>
      <c r="P251" s="50" t="s">
        <v>1798</v>
      </c>
      <c r="Q251" s="105">
        <v>27140</v>
      </c>
    </row>
    <row r="252" spans="1:17" ht="15" customHeight="1" x14ac:dyDescent="0.25">
      <c r="A252" s="49" t="s">
        <v>2108</v>
      </c>
      <c r="B252" s="50" t="s">
        <v>1855</v>
      </c>
      <c r="C252" s="50" t="s">
        <v>68</v>
      </c>
      <c r="D252" s="50" t="s">
        <v>93</v>
      </c>
      <c r="E252" s="50">
        <v>67</v>
      </c>
      <c r="F252" s="50" t="s">
        <v>1085</v>
      </c>
      <c r="G252" s="50"/>
      <c r="H252" s="50">
        <v>0.9</v>
      </c>
      <c r="I252" s="50"/>
      <c r="J252" s="50">
        <v>0</v>
      </c>
      <c r="K252" s="50" t="s">
        <v>1769</v>
      </c>
      <c r="L252" s="50" t="s">
        <v>145</v>
      </c>
      <c r="M252" s="50" t="s">
        <v>1790</v>
      </c>
      <c r="N252" s="50">
        <v>8.1999999999999993</v>
      </c>
      <c r="O252" s="104" t="s">
        <v>700</v>
      </c>
      <c r="P252" s="50"/>
      <c r="Q252" s="105">
        <v>12543</v>
      </c>
    </row>
    <row r="253" spans="1:17" ht="15" customHeight="1" x14ac:dyDescent="0.25">
      <c r="A253" s="49" t="s">
        <v>2109</v>
      </c>
      <c r="B253" s="50" t="s">
        <v>1753</v>
      </c>
      <c r="C253" s="50" t="s">
        <v>96</v>
      </c>
      <c r="D253" s="50" t="s">
        <v>51</v>
      </c>
      <c r="E253" s="50">
        <v>486</v>
      </c>
      <c r="F253" s="50" t="s">
        <v>1379</v>
      </c>
      <c r="G253" s="50" t="s">
        <v>1049</v>
      </c>
      <c r="H253" s="50">
        <v>7.6</v>
      </c>
      <c r="I253" s="50">
        <v>7</v>
      </c>
      <c r="J253" s="50">
        <v>0</v>
      </c>
      <c r="K253" s="50" t="s">
        <v>1797</v>
      </c>
      <c r="L253" s="50" t="s">
        <v>185</v>
      </c>
      <c r="M253" s="50" t="s">
        <v>1755</v>
      </c>
      <c r="N253" s="50">
        <v>11.6</v>
      </c>
      <c r="O253" s="104" t="s">
        <v>1761</v>
      </c>
      <c r="P253" s="50" t="s">
        <v>1780</v>
      </c>
      <c r="Q253" s="105">
        <v>64929</v>
      </c>
    </row>
    <row r="254" spans="1:17" ht="15" customHeight="1" x14ac:dyDescent="0.25">
      <c r="A254" s="49" t="s">
        <v>2110</v>
      </c>
      <c r="B254" s="50" t="s">
        <v>1764</v>
      </c>
      <c r="C254" s="50" t="s">
        <v>51</v>
      </c>
      <c r="D254" s="50" t="s">
        <v>62</v>
      </c>
      <c r="E254" s="50">
        <v>160</v>
      </c>
      <c r="F254" s="50" t="s">
        <v>980</v>
      </c>
      <c r="G254" s="50" t="s">
        <v>1235</v>
      </c>
      <c r="H254" s="50">
        <v>2.5</v>
      </c>
      <c r="I254" s="50">
        <v>2.5</v>
      </c>
      <c r="J254" s="50">
        <v>0</v>
      </c>
      <c r="K254" s="50" t="s">
        <v>1797</v>
      </c>
      <c r="L254" s="50" t="s">
        <v>255</v>
      </c>
      <c r="M254" s="50" t="s">
        <v>1765</v>
      </c>
      <c r="N254" s="50">
        <v>6</v>
      </c>
      <c r="O254" s="104" t="s">
        <v>1761</v>
      </c>
      <c r="P254" s="50" t="s">
        <v>1780</v>
      </c>
      <c r="Q254" s="105">
        <v>23072</v>
      </c>
    </row>
    <row r="255" spans="1:17" ht="15" customHeight="1" x14ac:dyDescent="0.25">
      <c r="A255" s="49" t="s">
        <v>2111</v>
      </c>
      <c r="B255" s="50" t="s">
        <v>1782</v>
      </c>
      <c r="C255" s="50" t="s">
        <v>51</v>
      </c>
      <c r="D255" s="50" t="s">
        <v>96</v>
      </c>
      <c r="E255" s="50">
        <v>486</v>
      </c>
      <c r="F255" s="50" t="s">
        <v>2112</v>
      </c>
      <c r="G255" s="50"/>
      <c r="H255" s="50">
        <v>7.2</v>
      </c>
      <c r="I255" s="50"/>
      <c r="J255" s="50">
        <v>0</v>
      </c>
      <c r="K255" s="50" t="s">
        <v>1841</v>
      </c>
      <c r="L255" s="50" t="s">
        <v>201</v>
      </c>
      <c r="M255" s="50" t="s">
        <v>1784</v>
      </c>
      <c r="N255" s="50">
        <v>12.3</v>
      </c>
      <c r="O255" s="104" t="s">
        <v>700</v>
      </c>
      <c r="P255" s="50"/>
      <c r="Q255" s="105">
        <v>74278</v>
      </c>
    </row>
    <row r="256" spans="1:17" ht="15" customHeight="1" x14ac:dyDescent="0.25">
      <c r="A256" s="49" t="s">
        <v>2113</v>
      </c>
      <c r="B256" s="50" t="s">
        <v>1764</v>
      </c>
      <c r="C256" s="50" t="s">
        <v>51</v>
      </c>
      <c r="D256" s="50" t="s">
        <v>62</v>
      </c>
      <c r="E256" s="50">
        <v>160</v>
      </c>
      <c r="F256" s="50" t="s">
        <v>1070</v>
      </c>
      <c r="G256" s="50"/>
      <c r="H256" s="50">
        <v>2.6</v>
      </c>
      <c r="I256" s="50"/>
      <c r="J256" s="50">
        <v>0</v>
      </c>
      <c r="K256" s="50" t="s">
        <v>1779</v>
      </c>
      <c r="L256" s="50" t="s">
        <v>149</v>
      </c>
      <c r="M256" s="50" t="s">
        <v>1770</v>
      </c>
      <c r="N256" s="50">
        <v>28.1</v>
      </c>
      <c r="O256" s="104" t="s">
        <v>700</v>
      </c>
      <c r="P256" s="50"/>
      <c r="Q256" s="105">
        <v>21443</v>
      </c>
    </row>
    <row r="257" spans="1:17" ht="15" customHeight="1" x14ac:dyDescent="0.25">
      <c r="A257" s="49" t="s">
        <v>2114</v>
      </c>
      <c r="B257" s="50" t="s">
        <v>1786</v>
      </c>
      <c r="C257" s="50" t="s">
        <v>131</v>
      </c>
      <c r="D257" s="50" t="s">
        <v>119</v>
      </c>
      <c r="E257" s="50">
        <v>360</v>
      </c>
      <c r="F257" s="50" t="s">
        <v>750</v>
      </c>
      <c r="G257" s="50"/>
      <c r="H257" s="50">
        <v>5.3</v>
      </c>
      <c r="I257" s="50"/>
      <c r="J257" s="50">
        <v>0</v>
      </c>
      <c r="K257" s="50" t="s">
        <v>1807</v>
      </c>
      <c r="L257" s="50" t="s">
        <v>221</v>
      </c>
      <c r="M257" s="50" t="s">
        <v>731</v>
      </c>
      <c r="N257" s="50">
        <v>27.7</v>
      </c>
      <c r="O257" s="104" t="s">
        <v>700</v>
      </c>
      <c r="P257" s="50"/>
      <c r="Q257" s="105">
        <v>88373</v>
      </c>
    </row>
    <row r="258" spans="1:17" ht="15" customHeight="1" x14ac:dyDescent="0.25">
      <c r="A258" s="49" t="s">
        <v>2115</v>
      </c>
      <c r="B258" s="50" t="s">
        <v>1855</v>
      </c>
      <c r="C258" s="50" t="s">
        <v>68</v>
      </c>
      <c r="D258" s="50" t="s">
        <v>93</v>
      </c>
      <c r="E258" s="50">
        <v>67</v>
      </c>
      <c r="F258" s="50" t="s">
        <v>1336</v>
      </c>
      <c r="G258" s="50"/>
      <c r="H258" s="50">
        <v>1.2</v>
      </c>
      <c r="I258" s="50"/>
      <c r="J258" s="50">
        <v>0</v>
      </c>
      <c r="K258" s="50" t="s">
        <v>1754</v>
      </c>
      <c r="L258" s="50" t="s">
        <v>175</v>
      </c>
      <c r="M258" s="50" t="s">
        <v>1770</v>
      </c>
      <c r="N258" s="50">
        <v>28.8</v>
      </c>
      <c r="O258" s="104" t="s">
        <v>1766</v>
      </c>
      <c r="P258" s="50"/>
      <c r="Q258" s="105">
        <v>10734</v>
      </c>
    </row>
    <row r="259" spans="1:17" ht="15" customHeight="1" x14ac:dyDescent="0.25">
      <c r="A259" s="49" t="s">
        <v>2116</v>
      </c>
      <c r="B259" s="50" t="s">
        <v>1758</v>
      </c>
      <c r="C259" s="50" t="s">
        <v>86</v>
      </c>
      <c r="D259" s="50" t="s">
        <v>51</v>
      </c>
      <c r="E259" s="50">
        <v>165</v>
      </c>
      <c r="F259" s="50" t="s">
        <v>1184</v>
      </c>
      <c r="G259" s="50"/>
      <c r="H259" s="50">
        <v>2.7</v>
      </c>
      <c r="I259" s="50"/>
      <c r="J259" s="50">
        <v>0</v>
      </c>
      <c r="K259" s="50" t="s">
        <v>1803</v>
      </c>
      <c r="L259" s="50" t="s">
        <v>49</v>
      </c>
      <c r="M259" s="50" t="s">
        <v>1784</v>
      </c>
      <c r="N259" s="50">
        <v>4.9000000000000004</v>
      </c>
      <c r="O259" s="104" t="s">
        <v>700</v>
      </c>
      <c r="P259" s="50"/>
      <c r="Q259" s="105">
        <v>26263</v>
      </c>
    </row>
    <row r="260" spans="1:17" ht="15" customHeight="1" x14ac:dyDescent="0.25">
      <c r="A260" s="49" t="s">
        <v>2117</v>
      </c>
      <c r="B260" s="50" t="s">
        <v>1768</v>
      </c>
      <c r="C260" s="50" t="s">
        <v>51</v>
      </c>
      <c r="D260" s="50" t="s">
        <v>103</v>
      </c>
      <c r="E260" s="50">
        <v>350</v>
      </c>
      <c r="F260" s="50" t="s">
        <v>1728</v>
      </c>
      <c r="G260" s="50" t="s">
        <v>1728</v>
      </c>
      <c r="H260" s="50">
        <v>6.2</v>
      </c>
      <c r="I260" s="50">
        <v>8.5</v>
      </c>
      <c r="J260" s="50">
        <v>2.2999999999999998</v>
      </c>
      <c r="K260" s="50" t="s">
        <v>1823</v>
      </c>
      <c r="L260" s="50" t="s">
        <v>275</v>
      </c>
      <c r="M260" s="50" t="s">
        <v>731</v>
      </c>
      <c r="N260" s="50">
        <v>5</v>
      </c>
      <c r="O260" s="104" t="s">
        <v>1761</v>
      </c>
      <c r="P260" s="50" t="s">
        <v>1820</v>
      </c>
      <c r="Q260" s="105">
        <v>49250</v>
      </c>
    </row>
    <row r="261" spans="1:17" ht="15" customHeight="1" x14ac:dyDescent="0.25">
      <c r="A261" s="49" t="s">
        <v>2118</v>
      </c>
      <c r="B261" s="50" t="s">
        <v>1768</v>
      </c>
      <c r="C261" s="50" t="s">
        <v>51</v>
      </c>
      <c r="D261" s="50" t="s">
        <v>103</v>
      </c>
      <c r="E261" s="50">
        <v>350</v>
      </c>
      <c r="F261" s="50" t="s">
        <v>2059</v>
      </c>
      <c r="G261" s="50" t="s">
        <v>2059</v>
      </c>
      <c r="H261" s="50">
        <v>5.7</v>
      </c>
      <c r="I261" s="50">
        <v>6</v>
      </c>
      <c r="J261" s="50">
        <v>0.3</v>
      </c>
      <c r="K261" s="50" t="s">
        <v>1759</v>
      </c>
      <c r="L261" s="50" t="s">
        <v>210</v>
      </c>
      <c r="M261" s="50" t="s">
        <v>1784</v>
      </c>
      <c r="N261" s="50">
        <v>11.6</v>
      </c>
      <c r="O261" s="104" t="s">
        <v>1761</v>
      </c>
      <c r="P261" s="50" t="s">
        <v>1820</v>
      </c>
      <c r="Q261" s="105">
        <v>47847</v>
      </c>
    </row>
    <row r="262" spans="1:17" ht="15" customHeight="1" x14ac:dyDescent="0.25">
      <c r="A262" s="49" t="s">
        <v>2119</v>
      </c>
      <c r="B262" s="50" t="s">
        <v>1758</v>
      </c>
      <c r="C262" s="50" t="s">
        <v>86</v>
      </c>
      <c r="D262" s="50" t="s">
        <v>51</v>
      </c>
      <c r="E262" s="50">
        <v>165</v>
      </c>
      <c r="F262" s="50" t="s">
        <v>725</v>
      </c>
      <c r="G262" s="50" t="s">
        <v>1048</v>
      </c>
      <c r="H262" s="50">
        <v>2.8</v>
      </c>
      <c r="I262" s="50">
        <v>3.4</v>
      </c>
      <c r="J262" s="50">
        <v>0.6</v>
      </c>
      <c r="K262" s="50" t="s">
        <v>1769</v>
      </c>
      <c r="L262" s="50" t="s">
        <v>262</v>
      </c>
      <c r="M262" s="50" t="s">
        <v>1784</v>
      </c>
      <c r="N262" s="50">
        <v>26.2</v>
      </c>
      <c r="O262" s="104" t="s">
        <v>1761</v>
      </c>
      <c r="P262" s="50" t="s">
        <v>1820</v>
      </c>
      <c r="Q262" s="105">
        <v>34169</v>
      </c>
    </row>
    <row r="263" spans="1:17" ht="15" customHeight="1" x14ac:dyDescent="0.25">
      <c r="A263" s="49" t="s">
        <v>2120</v>
      </c>
      <c r="B263" s="50" t="s">
        <v>1772</v>
      </c>
      <c r="C263" s="50" t="s">
        <v>51</v>
      </c>
      <c r="D263" s="50" t="s">
        <v>91</v>
      </c>
      <c r="E263" s="50">
        <v>64</v>
      </c>
      <c r="F263" s="50" t="s">
        <v>2121</v>
      </c>
      <c r="G263" s="50"/>
      <c r="H263" s="50">
        <v>1.2</v>
      </c>
      <c r="I263" s="50"/>
      <c r="J263" s="50">
        <v>0</v>
      </c>
      <c r="K263" s="50" t="s">
        <v>1759</v>
      </c>
      <c r="L263" s="50" t="s">
        <v>184</v>
      </c>
      <c r="M263" s="50" t="s">
        <v>1760</v>
      </c>
      <c r="N263" s="50">
        <v>10.5</v>
      </c>
      <c r="O263" s="50" t="s">
        <v>1756</v>
      </c>
      <c r="P263" s="50"/>
      <c r="Q263" s="105">
        <v>12760</v>
      </c>
    </row>
    <row r="264" spans="1:17" ht="15" customHeight="1" x14ac:dyDescent="0.25">
      <c r="A264" s="49" t="s">
        <v>2122</v>
      </c>
      <c r="B264" s="50" t="s">
        <v>1758</v>
      </c>
      <c r="C264" s="50" t="s">
        <v>86</v>
      </c>
      <c r="D264" s="50" t="s">
        <v>51</v>
      </c>
      <c r="E264" s="50">
        <v>165</v>
      </c>
      <c r="F264" s="50" t="s">
        <v>1341</v>
      </c>
      <c r="G264" s="50" t="s">
        <v>1467</v>
      </c>
      <c r="H264" s="50">
        <v>2.9</v>
      </c>
      <c r="I264" s="50">
        <v>3.2</v>
      </c>
      <c r="J264" s="50">
        <v>0.3</v>
      </c>
      <c r="K264" s="50" t="s">
        <v>1803</v>
      </c>
      <c r="L264" s="50" t="s">
        <v>138</v>
      </c>
      <c r="M264" s="50" t="s">
        <v>1765</v>
      </c>
      <c r="N264" s="50">
        <v>6.7</v>
      </c>
      <c r="O264" s="104" t="s">
        <v>1761</v>
      </c>
      <c r="P264" s="50" t="s">
        <v>1798</v>
      </c>
      <c r="Q264" s="105">
        <v>28932</v>
      </c>
    </row>
    <row r="265" spans="1:17" ht="15" customHeight="1" x14ac:dyDescent="0.25">
      <c r="A265" s="49" t="s">
        <v>2123</v>
      </c>
      <c r="B265" s="50" t="s">
        <v>1812</v>
      </c>
      <c r="C265" s="50" t="s">
        <v>86</v>
      </c>
      <c r="D265" s="50" t="s">
        <v>68</v>
      </c>
      <c r="E265" s="50">
        <v>135</v>
      </c>
      <c r="F265" s="50" t="s">
        <v>1489</v>
      </c>
      <c r="G265" s="50" t="s">
        <v>1489</v>
      </c>
      <c r="H265" s="50">
        <v>1.8</v>
      </c>
      <c r="I265" s="50">
        <v>2.2000000000000002</v>
      </c>
      <c r="J265" s="50">
        <v>0.4</v>
      </c>
      <c r="K265" s="50" t="s">
        <v>1779</v>
      </c>
      <c r="L265" s="50" t="s">
        <v>156</v>
      </c>
      <c r="M265" s="50" t="s">
        <v>1790</v>
      </c>
      <c r="N265" s="50">
        <v>5.8</v>
      </c>
      <c r="O265" s="104" t="s">
        <v>1761</v>
      </c>
      <c r="P265" s="50" t="s">
        <v>1820</v>
      </c>
      <c r="Q265" s="105">
        <v>30349</v>
      </c>
    </row>
    <row r="266" spans="1:17" ht="15" customHeight="1" x14ac:dyDescent="0.25">
      <c r="A266" s="49" t="s">
        <v>2124</v>
      </c>
      <c r="B266" s="50" t="s">
        <v>1764</v>
      </c>
      <c r="C266" s="50" t="s">
        <v>51</v>
      </c>
      <c r="D266" s="50" t="s">
        <v>62</v>
      </c>
      <c r="E266" s="50">
        <v>160</v>
      </c>
      <c r="F266" s="50" t="s">
        <v>915</v>
      </c>
      <c r="G266" s="50" t="s">
        <v>2125</v>
      </c>
      <c r="H266" s="50">
        <v>2.6</v>
      </c>
      <c r="I266" s="50">
        <v>2.9</v>
      </c>
      <c r="J266" s="50">
        <v>0.3</v>
      </c>
      <c r="K266" s="50" t="s">
        <v>1774</v>
      </c>
      <c r="L266" s="50" t="s">
        <v>66</v>
      </c>
      <c r="M266" s="50" t="s">
        <v>731</v>
      </c>
      <c r="N266" s="50">
        <v>9.9</v>
      </c>
      <c r="O266" s="104" t="s">
        <v>1761</v>
      </c>
      <c r="P266" s="50" t="s">
        <v>1808</v>
      </c>
      <c r="Q266" s="105">
        <v>29312</v>
      </c>
    </row>
    <row r="267" spans="1:17" ht="15" customHeight="1" x14ac:dyDescent="0.25">
      <c r="A267" s="49" t="s">
        <v>2126</v>
      </c>
      <c r="B267" s="50" t="s">
        <v>1753</v>
      </c>
      <c r="C267" s="50" t="s">
        <v>96</v>
      </c>
      <c r="D267" s="50" t="s">
        <v>51</v>
      </c>
      <c r="E267" s="50">
        <v>486</v>
      </c>
      <c r="F267" s="50" t="s">
        <v>973</v>
      </c>
      <c r="G267" s="50" t="s">
        <v>908</v>
      </c>
      <c r="H267" s="50">
        <v>9.4</v>
      </c>
      <c r="I267" s="50">
        <v>13</v>
      </c>
      <c r="J267" s="50">
        <v>3.6</v>
      </c>
      <c r="K267" s="50" t="s">
        <v>1836</v>
      </c>
      <c r="L267" s="50" t="s">
        <v>156</v>
      </c>
      <c r="M267" s="50" t="s">
        <v>1784</v>
      </c>
      <c r="N267" s="50">
        <v>19.2</v>
      </c>
      <c r="O267" s="104" t="s">
        <v>1761</v>
      </c>
      <c r="P267" s="50" t="s">
        <v>1775</v>
      </c>
      <c r="Q267" s="105">
        <v>81875</v>
      </c>
    </row>
    <row r="268" spans="1:17" ht="15" customHeight="1" x14ac:dyDescent="0.25">
      <c r="A268" s="49" t="s">
        <v>2127</v>
      </c>
      <c r="B268" s="50" t="s">
        <v>1825</v>
      </c>
      <c r="C268" s="50" t="s">
        <v>103</v>
      </c>
      <c r="D268" s="50" t="s">
        <v>72</v>
      </c>
      <c r="E268" s="50">
        <v>64</v>
      </c>
      <c r="F268" s="50" t="s">
        <v>1174</v>
      </c>
      <c r="G268" s="50"/>
      <c r="H268" s="50">
        <v>1.2</v>
      </c>
      <c r="I268" s="50"/>
      <c r="J268" s="50">
        <v>0</v>
      </c>
      <c r="K268" s="50" t="s">
        <v>1807</v>
      </c>
      <c r="L268" s="50" t="s">
        <v>198</v>
      </c>
      <c r="M268" s="50" t="s">
        <v>1755</v>
      </c>
      <c r="N268" s="50">
        <v>22.9</v>
      </c>
      <c r="O268" s="104" t="s">
        <v>700</v>
      </c>
      <c r="P268" s="50"/>
      <c r="Q268" s="105">
        <v>8346</v>
      </c>
    </row>
    <row r="269" spans="1:17" ht="15" customHeight="1" x14ac:dyDescent="0.25">
      <c r="A269" s="49" t="s">
        <v>2128</v>
      </c>
      <c r="B269" s="50" t="s">
        <v>1782</v>
      </c>
      <c r="C269" s="50" t="s">
        <v>51</v>
      </c>
      <c r="D269" s="50" t="s">
        <v>96</v>
      </c>
      <c r="E269" s="50">
        <v>486</v>
      </c>
      <c r="F269" s="50" t="s">
        <v>1132</v>
      </c>
      <c r="G269" s="50" t="s">
        <v>1132</v>
      </c>
      <c r="H269" s="50">
        <v>8.4</v>
      </c>
      <c r="I269" s="50">
        <v>9.9</v>
      </c>
      <c r="J269" s="50">
        <v>1.5</v>
      </c>
      <c r="K269" s="50" t="s">
        <v>1834</v>
      </c>
      <c r="L269" s="50" t="s">
        <v>247</v>
      </c>
      <c r="M269" s="50" t="s">
        <v>1784</v>
      </c>
      <c r="N269" s="50">
        <v>26.2</v>
      </c>
      <c r="O269" s="104" t="s">
        <v>1761</v>
      </c>
      <c r="P269" s="50" t="s">
        <v>1808</v>
      </c>
      <c r="Q269" s="105">
        <v>113154</v>
      </c>
    </row>
    <row r="270" spans="1:17" ht="15" customHeight="1" x14ac:dyDescent="0.25">
      <c r="A270" s="49" t="s">
        <v>2129</v>
      </c>
      <c r="B270" s="50" t="s">
        <v>1825</v>
      </c>
      <c r="C270" s="50" t="s">
        <v>103</v>
      </c>
      <c r="D270" s="50" t="s">
        <v>72</v>
      </c>
      <c r="E270" s="50">
        <v>64</v>
      </c>
      <c r="F270" s="50" t="s">
        <v>1284</v>
      </c>
      <c r="G270" s="50"/>
      <c r="H270" s="50">
        <v>0.9</v>
      </c>
      <c r="I270" s="50"/>
      <c r="J270" s="50">
        <v>0</v>
      </c>
      <c r="K270" s="50" t="s">
        <v>1769</v>
      </c>
      <c r="L270" s="50" t="s">
        <v>198</v>
      </c>
      <c r="M270" s="50" t="s">
        <v>1760</v>
      </c>
      <c r="N270" s="50">
        <v>20.399999999999999</v>
      </c>
      <c r="O270" s="50" t="s">
        <v>1756</v>
      </c>
      <c r="P270" s="50"/>
      <c r="Q270" s="105">
        <v>7876</v>
      </c>
    </row>
    <row r="271" spans="1:17" ht="15" customHeight="1" x14ac:dyDescent="0.25">
      <c r="A271" s="49" t="s">
        <v>2130</v>
      </c>
      <c r="B271" s="50" t="s">
        <v>1812</v>
      </c>
      <c r="C271" s="50" t="s">
        <v>86</v>
      </c>
      <c r="D271" s="50" t="s">
        <v>68</v>
      </c>
      <c r="E271" s="50">
        <v>135</v>
      </c>
      <c r="F271" s="50" t="s">
        <v>2131</v>
      </c>
      <c r="G271" s="50" t="s">
        <v>2131</v>
      </c>
      <c r="H271" s="50">
        <v>2.2000000000000002</v>
      </c>
      <c r="I271" s="50">
        <v>2.5</v>
      </c>
      <c r="J271" s="50">
        <v>0.3</v>
      </c>
      <c r="K271" s="50" t="s">
        <v>1803</v>
      </c>
      <c r="L271" s="50" t="s">
        <v>173</v>
      </c>
      <c r="M271" s="50" t="s">
        <v>1760</v>
      </c>
      <c r="N271" s="50">
        <v>19.3</v>
      </c>
      <c r="O271" s="104" t="s">
        <v>1761</v>
      </c>
      <c r="P271" s="50" t="s">
        <v>1775</v>
      </c>
      <c r="Q271" s="105">
        <v>29164</v>
      </c>
    </row>
    <row r="272" spans="1:17" ht="15" customHeight="1" x14ac:dyDescent="0.25">
      <c r="A272" s="49" t="s">
        <v>2132</v>
      </c>
      <c r="B272" s="50" t="s">
        <v>1822</v>
      </c>
      <c r="C272" s="50" t="s">
        <v>96</v>
      </c>
      <c r="D272" s="50" t="s">
        <v>83</v>
      </c>
      <c r="E272" s="50">
        <v>120</v>
      </c>
      <c r="F272" s="50" t="s">
        <v>816</v>
      </c>
      <c r="G272" s="50"/>
      <c r="H272" s="50">
        <v>2.2999999999999998</v>
      </c>
      <c r="I272" s="50"/>
      <c r="J272" s="50">
        <v>0</v>
      </c>
      <c r="K272" s="50" t="s">
        <v>1841</v>
      </c>
      <c r="L272" s="50" t="s">
        <v>126</v>
      </c>
      <c r="M272" s="50" t="s">
        <v>1784</v>
      </c>
      <c r="N272" s="50">
        <v>15.1</v>
      </c>
      <c r="O272" s="104" t="s">
        <v>700</v>
      </c>
      <c r="P272" s="50"/>
      <c r="Q272" s="105">
        <v>19788</v>
      </c>
    </row>
    <row r="273" spans="1:17" ht="15" customHeight="1" x14ac:dyDescent="0.25">
      <c r="A273" s="49" t="s">
        <v>2133</v>
      </c>
      <c r="B273" s="50" t="s">
        <v>1825</v>
      </c>
      <c r="C273" s="50" t="s">
        <v>103</v>
      </c>
      <c r="D273" s="50" t="s">
        <v>72</v>
      </c>
      <c r="E273" s="50">
        <v>64</v>
      </c>
      <c r="F273" s="50" t="s">
        <v>1169</v>
      </c>
      <c r="G273" s="50" t="s">
        <v>1382</v>
      </c>
      <c r="H273" s="50">
        <v>1</v>
      </c>
      <c r="I273" s="50">
        <v>1.3</v>
      </c>
      <c r="J273" s="50">
        <v>0.3</v>
      </c>
      <c r="K273" s="50" t="s">
        <v>1803</v>
      </c>
      <c r="L273" s="50" t="s">
        <v>88</v>
      </c>
      <c r="M273" s="50" t="s">
        <v>1765</v>
      </c>
      <c r="N273" s="50">
        <v>10.1</v>
      </c>
      <c r="O273" s="104" t="s">
        <v>1761</v>
      </c>
      <c r="P273" s="50" t="s">
        <v>1808</v>
      </c>
      <c r="Q273" s="105">
        <v>10858</v>
      </c>
    </row>
    <row r="274" spans="1:17" ht="15" customHeight="1" x14ac:dyDescent="0.25">
      <c r="A274" s="49" t="s">
        <v>2134</v>
      </c>
      <c r="B274" s="50" t="s">
        <v>1819</v>
      </c>
      <c r="C274" s="50" t="s">
        <v>103</v>
      </c>
      <c r="D274" s="50" t="s">
        <v>51</v>
      </c>
      <c r="E274" s="50">
        <v>350</v>
      </c>
      <c r="F274" s="50" t="s">
        <v>1188</v>
      </c>
      <c r="G274" s="50" t="s">
        <v>872</v>
      </c>
      <c r="H274" s="50">
        <v>4.8</v>
      </c>
      <c r="I274" s="50">
        <v>6.4</v>
      </c>
      <c r="J274" s="50">
        <v>1.6</v>
      </c>
      <c r="K274" s="50" t="s">
        <v>1836</v>
      </c>
      <c r="L274" s="50" t="s">
        <v>192</v>
      </c>
      <c r="M274" s="50" t="s">
        <v>1765</v>
      </c>
      <c r="N274" s="50">
        <v>5.9</v>
      </c>
      <c r="O274" s="104" t="s">
        <v>1761</v>
      </c>
      <c r="P274" s="50" t="s">
        <v>1808</v>
      </c>
      <c r="Q274" s="105">
        <v>80077</v>
      </c>
    </row>
    <row r="275" spans="1:17" ht="15" customHeight="1" x14ac:dyDescent="0.25">
      <c r="A275" s="49" t="s">
        <v>2135</v>
      </c>
      <c r="B275" s="50" t="s">
        <v>1786</v>
      </c>
      <c r="C275" s="50" t="s">
        <v>131</v>
      </c>
      <c r="D275" s="50" t="s">
        <v>119</v>
      </c>
      <c r="E275" s="50">
        <v>360</v>
      </c>
      <c r="F275" s="50" t="s">
        <v>2136</v>
      </c>
      <c r="G275" s="50"/>
      <c r="H275" s="50">
        <v>6.2</v>
      </c>
      <c r="I275" s="50"/>
      <c r="J275" s="50">
        <v>0</v>
      </c>
      <c r="K275" s="50" t="s">
        <v>1769</v>
      </c>
      <c r="L275" s="50" t="s">
        <v>247</v>
      </c>
      <c r="M275" s="50" t="s">
        <v>1755</v>
      </c>
      <c r="N275" s="50">
        <v>16.399999999999999</v>
      </c>
      <c r="O275" s="50" t="s">
        <v>1756</v>
      </c>
      <c r="P275" s="50"/>
      <c r="Q275" s="105">
        <v>75691</v>
      </c>
    </row>
    <row r="276" spans="1:17" ht="15" customHeight="1" x14ac:dyDescent="0.25">
      <c r="A276" s="49" t="s">
        <v>2137</v>
      </c>
      <c r="B276" s="50" t="s">
        <v>1782</v>
      </c>
      <c r="C276" s="50" t="s">
        <v>51</v>
      </c>
      <c r="D276" s="50" t="s">
        <v>96</v>
      </c>
      <c r="E276" s="50">
        <v>486</v>
      </c>
      <c r="F276" s="50" t="s">
        <v>1098</v>
      </c>
      <c r="G276" s="50"/>
      <c r="H276" s="50">
        <v>8.6</v>
      </c>
      <c r="I276" s="50"/>
      <c r="J276" s="50">
        <v>0</v>
      </c>
      <c r="K276" s="50" t="s">
        <v>1794</v>
      </c>
      <c r="L276" s="50" t="s">
        <v>201</v>
      </c>
      <c r="M276" s="50" t="s">
        <v>1760</v>
      </c>
      <c r="N276" s="50">
        <v>22.5</v>
      </c>
      <c r="O276" s="50" t="s">
        <v>1756</v>
      </c>
      <c r="P276" s="50"/>
      <c r="Q276" s="105">
        <v>75812</v>
      </c>
    </row>
    <row r="277" spans="1:17" ht="15" customHeight="1" x14ac:dyDescent="0.25">
      <c r="A277" s="49" t="s">
        <v>2138</v>
      </c>
      <c r="B277" s="50" t="s">
        <v>1753</v>
      </c>
      <c r="C277" s="50" t="s">
        <v>96</v>
      </c>
      <c r="D277" s="50" t="s">
        <v>51</v>
      </c>
      <c r="E277" s="50">
        <v>486</v>
      </c>
      <c r="F277" s="50" t="s">
        <v>1905</v>
      </c>
      <c r="G277" s="50" t="s">
        <v>1251</v>
      </c>
      <c r="H277" s="50">
        <v>6.3</v>
      </c>
      <c r="I277" s="50">
        <v>8.6</v>
      </c>
      <c r="J277" s="50">
        <v>2.2999999999999998</v>
      </c>
      <c r="K277" s="50" t="s">
        <v>1754</v>
      </c>
      <c r="L277" s="50" t="s">
        <v>162</v>
      </c>
      <c r="M277" s="50" t="s">
        <v>1760</v>
      </c>
      <c r="N277" s="50">
        <v>0.6</v>
      </c>
      <c r="O277" s="104" t="s">
        <v>1761</v>
      </c>
      <c r="P277" s="50" t="s">
        <v>1798</v>
      </c>
      <c r="Q277" s="105">
        <v>75680</v>
      </c>
    </row>
    <row r="278" spans="1:17" ht="15" customHeight="1" x14ac:dyDescent="0.25">
      <c r="A278" s="49" t="s">
        <v>2139</v>
      </c>
      <c r="B278" s="50" t="s">
        <v>1825</v>
      </c>
      <c r="C278" s="50" t="s">
        <v>103</v>
      </c>
      <c r="D278" s="50" t="s">
        <v>72</v>
      </c>
      <c r="E278" s="50">
        <v>64</v>
      </c>
      <c r="F278" s="50" t="s">
        <v>1374</v>
      </c>
      <c r="G278" s="50" t="s">
        <v>1365</v>
      </c>
      <c r="H278" s="50">
        <v>1.1000000000000001</v>
      </c>
      <c r="I278" s="50">
        <v>1.5</v>
      </c>
      <c r="J278" s="50">
        <v>0.4</v>
      </c>
      <c r="K278" s="50" t="s">
        <v>1841</v>
      </c>
      <c r="L278" s="50" t="s">
        <v>173</v>
      </c>
      <c r="M278" s="50" t="s">
        <v>731</v>
      </c>
      <c r="N278" s="50">
        <v>2.4</v>
      </c>
      <c r="O278" s="104" t="s">
        <v>1761</v>
      </c>
      <c r="P278" s="50" t="s">
        <v>1775</v>
      </c>
      <c r="Q278" s="105">
        <v>11181</v>
      </c>
    </row>
    <row r="279" spans="1:17" ht="15" customHeight="1" x14ac:dyDescent="0.25">
      <c r="A279" s="49" t="s">
        <v>2140</v>
      </c>
      <c r="B279" s="50" t="s">
        <v>1772</v>
      </c>
      <c r="C279" s="50" t="s">
        <v>51</v>
      </c>
      <c r="D279" s="50" t="s">
        <v>91</v>
      </c>
      <c r="E279" s="50">
        <v>64</v>
      </c>
      <c r="F279" s="50" t="s">
        <v>837</v>
      </c>
      <c r="G279" s="50" t="s">
        <v>2141</v>
      </c>
      <c r="H279" s="50">
        <v>1</v>
      </c>
      <c r="I279" s="50">
        <v>1.2</v>
      </c>
      <c r="J279" s="50">
        <v>0.2</v>
      </c>
      <c r="K279" s="50" t="s">
        <v>1834</v>
      </c>
      <c r="L279" s="50" t="s">
        <v>66</v>
      </c>
      <c r="M279" s="50" t="s">
        <v>1760</v>
      </c>
      <c r="N279" s="50">
        <v>10.5</v>
      </c>
      <c r="O279" s="104" t="s">
        <v>1761</v>
      </c>
      <c r="P279" s="50" t="s">
        <v>1820</v>
      </c>
      <c r="Q279" s="105">
        <v>9433</v>
      </c>
    </row>
    <row r="280" spans="1:17" ht="15" customHeight="1" x14ac:dyDescent="0.25">
      <c r="A280" s="49" t="s">
        <v>2142</v>
      </c>
      <c r="B280" s="50" t="s">
        <v>1819</v>
      </c>
      <c r="C280" s="50" t="s">
        <v>103</v>
      </c>
      <c r="D280" s="50" t="s">
        <v>51</v>
      </c>
      <c r="E280" s="50">
        <v>350</v>
      </c>
      <c r="F280" s="50" t="s">
        <v>767</v>
      </c>
      <c r="G280" s="50" t="s">
        <v>2143</v>
      </c>
      <c r="H280" s="50">
        <v>6.1</v>
      </c>
      <c r="I280" s="50">
        <v>7.3</v>
      </c>
      <c r="J280" s="50">
        <v>1.2</v>
      </c>
      <c r="K280" s="50" t="s">
        <v>1779</v>
      </c>
      <c r="L280" s="50" t="s">
        <v>259</v>
      </c>
      <c r="M280" s="50" t="s">
        <v>1770</v>
      </c>
      <c r="N280" s="50">
        <v>17.399999999999999</v>
      </c>
      <c r="O280" s="104" t="s">
        <v>1761</v>
      </c>
      <c r="P280" s="50" t="s">
        <v>1808</v>
      </c>
      <c r="Q280" s="105">
        <v>51444</v>
      </c>
    </row>
    <row r="281" spans="1:17" ht="15" customHeight="1" x14ac:dyDescent="0.25">
      <c r="A281" s="49" t="s">
        <v>2144</v>
      </c>
      <c r="B281" s="50" t="s">
        <v>1855</v>
      </c>
      <c r="C281" s="50" t="s">
        <v>68</v>
      </c>
      <c r="D281" s="50" t="s">
        <v>93</v>
      </c>
      <c r="E281" s="50">
        <v>67</v>
      </c>
      <c r="F281" s="50" t="s">
        <v>2145</v>
      </c>
      <c r="G281" s="50" t="s">
        <v>1657</v>
      </c>
      <c r="H281" s="50">
        <v>0.9</v>
      </c>
      <c r="I281" s="50">
        <v>0.9</v>
      </c>
      <c r="J281" s="50">
        <v>0</v>
      </c>
      <c r="K281" s="50" t="s">
        <v>1803</v>
      </c>
      <c r="L281" s="50" t="s">
        <v>262</v>
      </c>
      <c r="M281" s="50" t="s">
        <v>1790</v>
      </c>
      <c r="N281" s="50">
        <v>1.4</v>
      </c>
      <c r="O281" s="104" t="s">
        <v>1761</v>
      </c>
      <c r="P281" s="50" t="s">
        <v>1780</v>
      </c>
      <c r="Q281" s="105">
        <v>12960</v>
      </c>
    </row>
    <row r="282" spans="1:17" ht="15" customHeight="1" x14ac:dyDescent="0.25">
      <c r="A282" s="49" t="s">
        <v>2146</v>
      </c>
      <c r="B282" s="50" t="s">
        <v>1786</v>
      </c>
      <c r="C282" s="50" t="s">
        <v>131</v>
      </c>
      <c r="D282" s="50" t="s">
        <v>119</v>
      </c>
      <c r="E282" s="50">
        <v>360</v>
      </c>
      <c r="F282" s="50" t="s">
        <v>2147</v>
      </c>
      <c r="G282" s="50" t="s">
        <v>2147</v>
      </c>
      <c r="H282" s="50">
        <v>5</v>
      </c>
      <c r="I282" s="50">
        <v>7</v>
      </c>
      <c r="J282" s="50">
        <v>2</v>
      </c>
      <c r="K282" s="50" t="s">
        <v>1759</v>
      </c>
      <c r="L282" s="50" t="s">
        <v>186</v>
      </c>
      <c r="M282" s="50" t="s">
        <v>1755</v>
      </c>
      <c r="N282" s="50">
        <v>4.4000000000000004</v>
      </c>
      <c r="O282" s="104" t="s">
        <v>1761</v>
      </c>
      <c r="P282" s="50" t="s">
        <v>1820</v>
      </c>
      <c r="Q282" s="105">
        <v>53417</v>
      </c>
    </row>
    <row r="283" spans="1:17" ht="15" customHeight="1" x14ac:dyDescent="0.25">
      <c r="A283" s="49" t="s">
        <v>2148</v>
      </c>
      <c r="B283" s="50" t="s">
        <v>1768</v>
      </c>
      <c r="C283" s="50" t="s">
        <v>51</v>
      </c>
      <c r="D283" s="50" t="s">
        <v>103</v>
      </c>
      <c r="E283" s="50">
        <v>350</v>
      </c>
      <c r="F283" s="50" t="s">
        <v>1011</v>
      </c>
      <c r="G283" s="50" t="s">
        <v>1446</v>
      </c>
      <c r="H283" s="50">
        <v>6.4</v>
      </c>
      <c r="I283" s="50">
        <v>6.6</v>
      </c>
      <c r="J283" s="50">
        <v>0.2</v>
      </c>
      <c r="K283" s="50" t="s">
        <v>1774</v>
      </c>
      <c r="L283" s="50" t="s">
        <v>278</v>
      </c>
      <c r="M283" s="50" t="s">
        <v>1790</v>
      </c>
      <c r="N283" s="50">
        <v>16.7</v>
      </c>
      <c r="O283" s="104" t="s">
        <v>1761</v>
      </c>
      <c r="P283" s="50" t="s">
        <v>1762</v>
      </c>
      <c r="Q283" s="105">
        <v>56533</v>
      </c>
    </row>
    <row r="284" spans="1:17" ht="15" customHeight="1" x14ac:dyDescent="0.25">
      <c r="A284" s="49" t="s">
        <v>2149</v>
      </c>
      <c r="B284" s="50" t="s">
        <v>1764</v>
      </c>
      <c r="C284" s="50" t="s">
        <v>51</v>
      </c>
      <c r="D284" s="50" t="s">
        <v>62</v>
      </c>
      <c r="E284" s="50">
        <v>160</v>
      </c>
      <c r="F284" s="50" t="s">
        <v>1312</v>
      </c>
      <c r="G284" s="50" t="s">
        <v>1665</v>
      </c>
      <c r="H284" s="50">
        <v>2</v>
      </c>
      <c r="I284" s="50">
        <v>2.1</v>
      </c>
      <c r="J284" s="50">
        <v>0.1</v>
      </c>
      <c r="K284" s="50" t="s">
        <v>1774</v>
      </c>
      <c r="L284" s="50" t="s">
        <v>252</v>
      </c>
      <c r="M284" s="50" t="s">
        <v>1760</v>
      </c>
      <c r="N284" s="50">
        <v>15.3</v>
      </c>
      <c r="O284" s="104" t="s">
        <v>1761</v>
      </c>
      <c r="P284" s="50" t="s">
        <v>1820</v>
      </c>
      <c r="Q284" s="105">
        <v>34942</v>
      </c>
    </row>
    <row r="285" spans="1:17" ht="15" customHeight="1" x14ac:dyDescent="0.25">
      <c r="A285" s="49" t="s">
        <v>2150</v>
      </c>
      <c r="B285" s="50" t="s">
        <v>1812</v>
      </c>
      <c r="C285" s="50" t="s">
        <v>86</v>
      </c>
      <c r="D285" s="50" t="s">
        <v>68</v>
      </c>
      <c r="E285" s="50">
        <v>135</v>
      </c>
      <c r="F285" s="50" t="s">
        <v>1011</v>
      </c>
      <c r="G285" s="50"/>
      <c r="H285" s="50">
        <v>2.4</v>
      </c>
      <c r="I285" s="50"/>
      <c r="J285" s="50">
        <v>0</v>
      </c>
      <c r="K285" s="50" t="s">
        <v>1769</v>
      </c>
      <c r="L285" s="50" t="s">
        <v>49</v>
      </c>
      <c r="M285" s="50" t="s">
        <v>1755</v>
      </c>
      <c r="N285" s="50">
        <v>25</v>
      </c>
      <c r="O285" s="50" t="s">
        <v>1756</v>
      </c>
      <c r="P285" s="50"/>
      <c r="Q285" s="105">
        <v>27716</v>
      </c>
    </row>
    <row r="286" spans="1:17" ht="15" customHeight="1" x14ac:dyDescent="0.25">
      <c r="A286" s="49" t="s">
        <v>2151</v>
      </c>
      <c r="B286" s="50" t="s">
        <v>1753</v>
      </c>
      <c r="C286" s="50" t="s">
        <v>96</v>
      </c>
      <c r="D286" s="50" t="s">
        <v>51</v>
      </c>
      <c r="E286" s="50">
        <v>486</v>
      </c>
      <c r="F286" s="50" t="s">
        <v>1391</v>
      </c>
      <c r="G286" s="50" t="s">
        <v>1195</v>
      </c>
      <c r="H286" s="50">
        <v>7</v>
      </c>
      <c r="I286" s="50">
        <v>6.9</v>
      </c>
      <c r="J286" s="50">
        <v>0</v>
      </c>
      <c r="K286" s="50" t="s">
        <v>1836</v>
      </c>
      <c r="L286" s="50" t="s">
        <v>195</v>
      </c>
      <c r="M286" s="50" t="s">
        <v>731</v>
      </c>
      <c r="N286" s="50">
        <v>19.3</v>
      </c>
      <c r="O286" s="104" t="s">
        <v>1761</v>
      </c>
      <c r="P286" s="50" t="s">
        <v>1780</v>
      </c>
      <c r="Q286" s="105">
        <v>90122</v>
      </c>
    </row>
    <row r="287" spans="1:17" ht="15" customHeight="1" x14ac:dyDescent="0.25">
      <c r="A287" s="49" t="s">
        <v>2152</v>
      </c>
      <c r="B287" s="50" t="s">
        <v>1768</v>
      </c>
      <c r="C287" s="50" t="s">
        <v>51</v>
      </c>
      <c r="D287" s="50" t="s">
        <v>103</v>
      </c>
      <c r="E287" s="50">
        <v>350</v>
      </c>
      <c r="F287" s="50" t="s">
        <v>1672</v>
      </c>
      <c r="G287" s="50" t="s">
        <v>1734</v>
      </c>
      <c r="H287" s="50">
        <v>5.0999999999999996</v>
      </c>
      <c r="I287" s="50">
        <v>5.7</v>
      </c>
      <c r="J287" s="50">
        <v>0.6</v>
      </c>
      <c r="K287" s="50" t="s">
        <v>1807</v>
      </c>
      <c r="L287" s="50" t="s">
        <v>235</v>
      </c>
      <c r="M287" s="50" t="s">
        <v>1784</v>
      </c>
      <c r="N287" s="50">
        <v>14.4</v>
      </c>
      <c r="O287" s="104" t="s">
        <v>1761</v>
      </c>
      <c r="P287" s="50" t="s">
        <v>1775</v>
      </c>
      <c r="Q287" s="105">
        <v>82200</v>
      </c>
    </row>
    <row r="288" spans="1:17" ht="15" customHeight="1" x14ac:dyDescent="0.25">
      <c r="A288" s="49" t="s">
        <v>2153</v>
      </c>
      <c r="B288" s="50" t="s">
        <v>1753</v>
      </c>
      <c r="C288" s="50" t="s">
        <v>96</v>
      </c>
      <c r="D288" s="50" t="s">
        <v>51</v>
      </c>
      <c r="E288" s="50">
        <v>486</v>
      </c>
      <c r="F288" s="50" t="s">
        <v>802</v>
      </c>
      <c r="G288" s="50"/>
      <c r="H288" s="50">
        <v>6.4</v>
      </c>
      <c r="I288" s="50"/>
      <c r="J288" s="50">
        <v>0</v>
      </c>
      <c r="K288" s="50" t="s">
        <v>1817</v>
      </c>
      <c r="L288" s="50" t="s">
        <v>130</v>
      </c>
      <c r="M288" s="50" t="s">
        <v>1790</v>
      </c>
      <c r="N288" s="50">
        <v>11.4</v>
      </c>
      <c r="O288" s="104" t="s">
        <v>700</v>
      </c>
      <c r="P288" s="50"/>
      <c r="Q288" s="105">
        <v>69390</v>
      </c>
    </row>
    <row r="289" spans="1:17" ht="15" customHeight="1" x14ac:dyDescent="0.25">
      <c r="A289" s="49" t="s">
        <v>2154</v>
      </c>
      <c r="B289" s="50" t="s">
        <v>1805</v>
      </c>
      <c r="C289" s="50" t="s">
        <v>51</v>
      </c>
      <c r="D289" s="50" t="s">
        <v>131</v>
      </c>
      <c r="E289" s="50">
        <v>44</v>
      </c>
      <c r="F289" s="50" t="s">
        <v>2155</v>
      </c>
      <c r="G289" s="50" t="s">
        <v>1019</v>
      </c>
      <c r="H289" s="50">
        <v>0.7</v>
      </c>
      <c r="I289" s="50">
        <v>0.9</v>
      </c>
      <c r="J289" s="50">
        <v>0.2</v>
      </c>
      <c r="K289" s="50" t="s">
        <v>1794</v>
      </c>
      <c r="L289" s="50" t="s">
        <v>82</v>
      </c>
      <c r="M289" s="50" t="s">
        <v>731</v>
      </c>
      <c r="N289" s="50">
        <v>17.5</v>
      </c>
      <c r="O289" s="104" t="s">
        <v>1761</v>
      </c>
      <c r="P289" s="50" t="s">
        <v>1798</v>
      </c>
      <c r="Q289" s="105">
        <v>9837</v>
      </c>
    </row>
    <row r="290" spans="1:17" ht="15" customHeight="1" x14ac:dyDescent="0.25">
      <c r="A290" s="49" t="s">
        <v>2156</v>
      </c>
      <c r="B290" s="50" t="s">
        <v>1825</v>
      </c>
      <c r="C290" s="50" t="s">
        <v>103</v>
      </c>
      <c r="D290" s="50" t="s">
        <v>72</v>
      </c>
      <c r="E290" s="50">
        <v>64</v>
      </c>
      <c r="F290" s="50" t="s">
        <v>1501</v>
      </c>
      <c r="G290" s="50"/>
      <c r="H290" s="50">
        <v>1.1000000000000001</v>
      </c>
      <c r="I290" s="50"/>
      <c r="J290" s="50">
        <v>0</v>
      </c>
      <c r="K290" s="50" t="s">
        <v>1794</v>
      </c>
      <c r="L290" s="50" t="s">
        <v>129</v>
      </c>
      <c r="M290" s="50" t="s">
        <v>731</v>
      </c>
      <c r="N290" s="50">
        <v>14.1</v>
      </c>
      <c r="O290" s="104" t="s">
        <v>1766</v>
      </c>
      <c r="P290" s="50"/>
      <c r="Q290" s="105">
        <v>7737</v>
      </c>
    </row>
    <row r="291" spans="1:17" ht="15" customHeight="1" x14ac:dyDescent="0.25">
      <c r="A291" s="49" t="s">
        <v>2157</v>
      </c>
      <c r="B291" s="50" t="s">
        <v>1782</v>
      </c>
      <c r="C291" s="50" t="s">
        <v>51</v>
      </c>
      <c r="D291" s="50" t="s">
        <v>96</v>
      </c>
      <c r="E291" s="50">
        <v>486</v>
      </c>
      <c r="F291" s="50" t="s">
        <v>2078</v>
      </c>
      <c r="G291" s="50" t="s">
        <v>1566</v>
      </c>
      <c r="H291" s="50">
        <v>6.4</v>
      </c>
      <c r="I291" s="50">
        <v>8.5</v>
      </c>
      <c r="J291" s="50">
        <v>2.1</v>
      </c>
      <c r="K291" s="50" t="s">
        <v>1823</v>
      </c>
      <c r="L291" s="50" t="s">
        <v>196</v>
      </c>
      <c r="M291" s="50" t="s">
        <v>1760</v>
      </c>
      <c r="N291" s="50">
        <v>26.6</v>
      </c>
      <c r="O291" s="104" t="s">
        <v>1761</v>
      </c>
      <c r="P291" s="50" t="s">
        <v>1775</v>
      </c>
      <c r="Q291" s="105">
        <v>103479</v>
      </c>
    </row>
    <row r="292" spans="1:17" ht="15" customHeight="1" x14ac:dyDescent="0.25">
      <c r="A292" s="49" t="s">
        <v>2158</v>
      </c>
      <c r="B292" s="50" t="s">
        <v>1825</v>
      </c>
      <c r="C292" s="50" t="s">
        <v>103</v>
      </c>
      <c r="D292" s="50" t="s">
        <v>72</v>
      </c>
      <c r="E292" s="50">
        <v>64</v>
      </c>
      <c r="F292" s="50" t="s">
        <v>793</v>
      </c>
      <c r="G292" s="50" t="s">
        <v>2159</v>
      </c>
      <c r="H292" s="50">
        <v>1.1000000000000001</v>
      </c>
      <c r="I292" s="50">
        <v>1.6</v>
      </c>
      <c r="J292" s="50">
        <v>0.5</v>
      </c>
      <c r="K292" s="50" t="s">
        <v>1836</v>
      </c>
      <c r="L292" s="50" t="s">
        <v>275</v>
      </c>
      <c r="M292" s="50" t="s">
        <v>1770</v>
      </c>
      <c r="N292" s="50">
        <v>1.7</v>
      </c>
      <c r="O292" s="104" t="s">
        <v>1761</v>
      </c>
      <c r="P292" s="50" t="s">
        <v>1820</v>
      </c>
      <c r="Q292" s="105">
        <v>11246</v>
      </c>
    </row>
    <row r="293" spans="1:17" ht="15" customHeight="1" x14ac:dyDescent="0.25">
      <c r="A293" s="49" t="s">
        <v>2160</v>
      </c>
      <c r="B293" s="50" t="s">
        <v>1768</v>
      </c>
      <c r="C293" s="50" t="s">
        <v>51</v>
      </c>
      <c r="D293" s="50" t="s">
        <v>103</v>
      </c>
      <c r="E293" s="50">
        <v>350</v>
      </c>
      <c r="F293" s="50" t="s">
        <v>2161</v>
      </c>
      <c r="G293" s="50" t="s">
        <v>2162</v>
      </c>
      <c r="H293" s="50">
        <v>6</v>
      </c>
      <c r="I293" s="50">
        <v>6.7</v>
      </c>
      <c r="J293" s="50">
        <v>0.7</v>
      </c>
      <c r="K293" s="50" t="s">
        <v>1817</v>
      </c>
      <c r="L293" s="50" t="s">
        <v>238</v>
      </c>
      <c r="M293" s="50" t="s">
        <v>1770</v>
      </c>
      <c r="N293" s="50">
        <v>23.9</v>
      </c>
      <c r="O293" s="104" t="s">
        <v>1761</v>
      </c>
      <c r="P293" s="50" t="s">
        <v>1762</v>
      </c>
      <c r="Q293" s="105">
        <v>48459</v>
      </c>
    </row>
    <row r="294" spans="1:17" ht="15" customHeight="1" x14ac:dyDescent="0.25">
      <c r="A294" s="49" t="s">
        <v>2163</v>
      </c>
      <c r="B294" s="50" t="s">
        <v>1822</v>
      </c>
      <c r="C294" s="50" t="s">
        <v>96</v>
      </c>
      <c r="D294" s="50" t="s">
        <v>83</v>
      </c>
      <c r="E294" s="50">
        <v>120</v>
      </c>
      <c r="F294" s="50" t="s">
        <v>1253</v>
      </c>
      <c r="G294" s="50" t="s">
        <v>1352</v>
      </c>
      <c r="H294" s="50">
        <v>2.2999999999999998</v>
      </c>
      <c r="I294" s="50">
        <v>3.1</v>
      </c>
      <c r="J294" s="50">
        <v>0.8</v>
      </c>
      <c r="K294" s="50" t="s">
        <v>1754</v>
      </c>
      <c r="L294" s="50" t="s">
        <v>267</v>
      </c>
      <c r="M294" s="50" t="s">
        <v>1765</v>
      </c>
      <c r="N294" s="50">
        <v>14</v>
      </c>
      <c r="O294" s="104" t="s">
        <v>1761</v>
      </c>
      <c r="P294" s="50" t="s">
        <v>1762</v>
      </c>
      <c r="Q294" s="105">
        <v>19007</v>
      </c>
    </row>
    <row r="295" spans="1:17" ht="15" customHeight="1" x14ac:dyDescent="0.25">
      <c r="A295" s="49" t="s">
        <v>2164</v>
      </c>
      <c r="B295" s="50" t="s">
        <v>1825</v>
      </c>
      <c r="C295" s="50" t="s">
        <v>103</v>
      </c>
      <c r="D295" s="50" t="s">
        <v>72</v>
      </c>
      <c r="E295" s="50">
        <v>64</v>
      </c>
      <c r="F295" s="50" t="s">
        <v>1423</v>
      </c>
      <c r="G295" s="50" t="s">
        <v>1423</v>
      </c>
      <c r="H295" s="50">
        <v>1.1000000000000001</v>
      </c>
      <c r="I295" s="50">
        <v>1.2</v>
      </c>
      <c r="J295" s="50">
        <v>0.1</v>
      </c>
      <c r="K295" s="50" t="s">
        <v>1769</v>
      </c>
      <c r="L295" s="50" t="s">
        <v>242</v>
      </c>
      <c r="M295" s="50" t="s">
        <v>1765</v>
      </c>
      <c r="N295" s="50">
        <v>23</v>
      </c>
      <c r="O295" s="104" t="s">
        <v>1761</v>
      </c>
      <c r="P295" s="50" t="s">
        <v>1762</v>
      </c>
      <c r="Q295" s="105">
        <v>12369</v>
      </c>
    </row>
    <row r="296" spans="1:17" ht="15" customHeight="1" x14ac:dyDescent="0.25">
      <c r="A296" s="49" t="s">
        <v>2165</v>
      </c>
      <c r="B296" s="50" t="s">
        <v>1819</v>
      </c>
      <c r="C296" s="50" t="s">
        <v>103</v>
      </c>
      <c r="D296" s="50" t="s">
        <v>51</v>
      </c>
      <c r="E296" s="50">
        <v>350</v>
      </c>
      <c r="F296" s="50" t="s">
        <v>1498</v>
      </c>
      <c r="G296" s="50" t="s">
        <v>1485</v>
      </c>
      <c r="H296" s="50">
        <v>6.4</v>
      </c>
      <c r="I296" s="50">
        <v>6.4</v>
      </c>
      <c r="J296" s="50">
        <v>0</v>
      </c>
      <c r="K296" s="50" t="s">
        <v>1754</v>
      </c>
      <c r="L296" s="50" t="s">
        <v>168</v>
      </c>
      <c r="M296" s="50" t="s">
        <v>1790</v>
      </c>
      <c r="N296" s="50">
        <v>21.5</v>
      </c>
      <c r="O296" s="104" t="s">
        <v>1761</v>
      </c>
      <c r="P296" s="50" t="s">
        <v>1780</v>
      </c>
      <c r="Q296" s="105">
        <v>47849</v>
      </c>
    </row>
    <row r="297" spans="1:17" ht="15" customHeight="1" x14ac:dyDescent="0.25">
      <c r="A297" s="49" t="s">
        <v>2166</v>
      </c>
      <c r="B297" s="50" t="s">
        <v>1772</v>
      </c>
      <c r="C297" s="50" t="s">
        <v>51</v>
      </c>
      <c r="D297" s="50" t="s">
        <v>91</v>
      </c>
      <c r="E297" s="50">
        <v>64</v>
      </c>
      <c r="F297" s="50" t="s">
        <v>1654</v>
      </c>
      <c r="G297" s="50" t="s">
        <v>1339</v>
      </c>
      <c r="H297" s="50">
        <v>0.9</v>
      </c>
      <c r="I297" s="50">
        <v>1</v>
      </c>
      <c r="J297" s="50">
        <v>0.1</v>
      </c>
      <c r="K297" s="50" t="s">
        <v>1779</v>
      </c>
      <c r="L297" s="50" t="s">
        <v>144</v>
      </c>
      <c r="M297" s="50" t="s">
        <v>1755</v>
      </c>
      <c r="N297" s="50">
        <v>9.4</v>
      </c>
      <c r="O297" s="104" t="s">
        <v>1761</v>
      </c>
      <c r="P297" s="50" t="s">
        <v>1775</v>
      </c>
      <c r="Q297" s="105">
        <v>13882</v>
      </c>
    </row>
    <row r="298" spans="1:17" ht="15" customHeight="1" x14ac:dyDescent="0.25">
      <c r="A298" s="49" t="s">
        <v>2167</v>
      </c>
      <c r="B298" s="50" t="s">
        <v>1855</v>
      </c>
      <c r="C298" s="50" t="s">
        <v>68</v>
      </c>
      <c r="D298" s="50" t="s">
        <v>93</v>
      </c>
      <c r="E298" s="50">
        <v>67</v>
      </c>
      <c r="F298" s="50" t="s">
        <v>905</v>
      </c>
      <c r="G298" s="50" t="s">
        <v>1103</v>
      </c>
      <c r="H298" s="50">
        <v>0.9</v>
      </c>
      <c r="I298" s="50">
        <v>1.1000000000000001</v>
      </c>
      <c r="J298" s="50">
        <v>0.2</v>
      </c>
      <c r="K298" s="50" t="s">
        <v>1797</v>
      </c>
      <c r="L298" s="50" t="s">
        <v>254</v>
      </c>
      <c r="M298" s="50" t="s">
        <v>731</v>
      </c>
      <c r="N298" s="50">
        <v>17.8</v>
      </c>
      <c r="O298" s="104" t="s">
        <v>1761</v>
      </c>
      <c r="P298" s="50" t="s">
        <v>1820</v>
      </c>
      <c r="Q298" s="105">
        <v>13687</v>
      </c>
    </row>
    <row r="299" spans="1:17" ht="15" customHeight="1" x14ac:dyDescent="0.25">
      <c r="A299" s="49" t="s">
        <v>2168</v>
      </c>
      <c r="B299" s="50" t="s">
        <v>1777</v>
      </c>
      <c r="C299" s="50" t="s">
        <v>68</v>
      </c>
      <c r="D299" s="50" t="s">
        <v>86</v>
      </c>
      <c r="E299" s="50">
        <v>135</v>
      </c>
      <c r="F299" s="50" t="s">
        <v>1411</v>
      </c>
      <c r="G299" s="50" t="s">
        <v>2169</v>
      </c>
      <c r="H299" s="50">
        <v>1.8</v>
      </c>
      <c r="I299" s="50">
        <v>1.9</v>
      </c>
      <c r="J299" s="50">
        <v>0.1</v>
      </c>
      <c r="K299" s="50" t="s">
        <v>1779</v>
      </c>
      <c r="L299" s="50" t="s">
        <v>261</v>
      </c>
      <c r="M299" s="50" t="s">
        <v>1765</v>
      </c>
      <c r="N299" s="50">
        <v>10.6</v>
      </c>
      <c r="O299" s="104" t="s">
        <v>1761</v>
      </c>
      <c r="P299" s="50" t="s">
        <v>1775</v>
      </c>
      <c r="Q299" s="105">
        <v>29854</v>
      </c>
    </row>
    <row r="300" spans="1:17" ht="15" customHeight="1" x14ac:dyDescent="0.25">
      <c r="A300" s="49" t="s">
        <v>2170</v>
      </c>
      <c r="B300" s="50" t="s">
        <v>1758</v>
      </c>
      <c r="C300" s="50" t="s">
        <v>86</v>
      </c>
      <c r="D300" s="50" t="s">
        <v>51</v>
      </c>
      <c r="E300" s="50">
        <v>165</v>
      </c>
      <c r="F300" s="50" t="s">
        <v>823</v>
      </c>
      <c r="G300" s="50"/>
      <c r="H300" s="50">
        <v>2.7</v>
      </c>
      <c r="I300" s="50"/>
      <c r="J300" s="50">
        <v>0</v>
      </c>
      <c r="K300" s="50" t="s">
        <v>1803</v>
      </c>
      <c r="L300" s="50" t="s">
        <v>235</v>
      </c>
      <c r="M300" s="50" t="s">
        <v>1784</v>
      </c>
      <c r="N300" s="50">
        <v>27.2</v>
      </c>
      <c r="O300" s="104" t="s">
        <v>700</v>
      </c>
      <c r="P300" s="50"/>
      <c r="Q300" s="105">
        <v>37941</v>
      </c>
    </row>
    <row r="301" spans="1:17" ht="15" customHeight="1" x14ac:dyDescent="0.25">
      <c r="A301" s="49" t="s">
        <v>2171</v>
      </c>
      <c r="B301" s="50" t="s">
        <v>1758</v>
      </c>
      <c r="C301" s="50" t="s">
        <v>86</v>
      </c>
      <c r="D301" s="50" t="s">
        <v>51</v>
      </c>
      <c r="E301" s="50">
        <v>165</v>
      </c>
      <c r="F301" s="50" t="s">
        <v>1456</v>
      </c>
      <c r="G301" s="50" t="s">
        <v>315</v>
      </c>
      <c r="H301" s="50">
        <v>2.7</v>
      </c>
      <c r="I301" s="50">
        <v>2.5</v>
      </c>
      <c r="J301" s="50">
        <v>0</v>
      </c>
      <c r="K301" s="50" t="s">
        <v>1779</v>
      </c>
      <c r="L301" s="50" t="s">
        <v>192</v>
      </c>
      <c r="M301" s="50" t="s">
        <v>1784</v>
      </c>
      <c r="N301" s="50">
        <v>3.4</v>
      </c>
      <c r="O301" s="104" t="s">
        <v>1761</v>
      </c>
      <c r="P301" s="50" t="s">
        <v>1780</v>
      </c>
      <c r="Q301" s="105">
        <v>40428</v>
      </c>
    </row>
    <row r="302" spans="1:17" ht="15" customHeight="1" x14ac:dyDescent="0.25">
      <c r="A302" s="49" t="s">
        <v>2172</v>
      </c>
      <c r="B302" s="50" t="s">
        <v>1777</v>
      </c>
      <c r="C302" s="50" t="s">
        <v>68</v>
      </c>
      <c r="D302" s="50" t="s">
        <v>86</v>
      </c>
      <c r="E302" s="50">
        <v>135</v>
      </c>
      <c r="F302" s="50" t="s">
        <v>1027</v>
      </c>
      <c r="G302" s="50" t="s">
        <v>1027</v>
      </c>
      <c r="H302" s="50">
        <v>2</v>
      </c>
      <c r="I302" s="50">
        <v>2.9</v>
      </c>
      <c r="J302" s="50">
        <v>0.9</v>
      </c>
      <c r="K302" s="50" t="s">
        <v>1759</v>
      </c>
      <c r="L302" s="50" t="s">
        <v>152</v>
      </c>
      <c r="M302" s="50" t="s">
        <v>1760</v>
      </c>
      <c r="N302" s="50">
        <v>24</v>
      </c>
      <c r="O302" s="104" t="s">
        <v>1761</v>
      </c>
      <c r="P302" s="50" t="s">
        <v>1798</v>
      </c>
      <c r="Q302" s="105">
        <v>28303</v>
      </c>
    </row>
    <row r="303" spans="1:17" ht="15" customHeight="1" x14ac:dyDescent="0.25">
      <c r="A303" s="49" t="s">
        <v>2173</v>
      </c>
      <c r="B303" s="50" t="s">
        <v>1825</v>
      </c>
      <c r="C303" s="50" t="s">
        <v>103</v>
      </c>
      <c r="D303" s="50" t="s">
        <v>72</v>
      </c>
      <c r="E303" s="50">
        <v>64</v>
      </c>
      <c r="F303" s="50" t="s">
        <v>967</v>
      </c>
      <c r="G303" s="50"/>
      <c r="H303" s="50">
        <v>1.1000000000000001</v>
      </c>
      <c r="I303" s="50"/>
      <c r="J303" s="50">
        <v>0</v>
      </c>
      <c r="K303" s="50" t="s">
        <v>1769</v>
      </c>
      <c r="L303" s="50" t="s">
        <v>110</v>
      </c>
      <c r="M303" s="50" t="s">
        <v>1784</v>
      </c>
      <c r="N303" s="50">
        <v>6.1</v>
      </c>
      <c r="O303" s="50" t="s">
        <v>1756</v>
      </c>
      <c r="P303" s="50"/>
      <c r="Q303" s="105">
        <v>8210</v>
      </c>
    </row>
    <row r="304" spans="1:17" ht="15" customHeight="1" x14ac:dyDescent="0.25">
      <c r="A304" s="49" t="s">
        <v>2174</v>
      </c>
      <c r="B304" s="50" t="s">
        <v>1805</v>
      </c>
      <c r="C304" s="50" t="s">
        <v>51</v>
      </c>
      <c r="D304" s="50" t="s">
        <v>131</v>
      </c>
      <c r="E304" s="50">
        <v>44</v>
      </c>
      <c r="F304" s="50" t="s">
        <v>940</v>
      </c>
      <c r="G304" s="50" t="s">
        <v>940</v>
      </c>
      <c r="H304" s="50">
        <v>0.8</v>
      </c>
      <c r="I304" s="50">
        <v>0.8</v>
      </c>
      <c r="J304" s="50">
        <v>0</v>
      </c>
      <c r="K304" s="50" t="s">
        <v>1759</v>
      </c>
      <c r="L304" s="50" t="s">
        <v>152</v>
      </c>
      <c r="M304" s="50" t="s">
        <v>1755</v>
      </c>
      <c r="N304" s="50">
        <v>23</v>
      </c>
      <c r="O304" s="104" t="s">
        <v>1761</v>
      </c>
      <c r="P304" s="50" t="s">
        <v>1780</v>
      </c>
      <c r="Q304" s="105">
        <v>7104</v>
      </c>
    </row>
    <row r="305" spans="1:17" ht="15" customHeight="1" x14ac:dyDescent="0.25">
      <c r="A305" s="49" t="s">
        <v>2175</v>
      </c>
      <c r="B305" s="50" t="s">
        <v>1753</v>
      </c>
      <c r="C305" s="50" t="s">
        <v>96</v>
      </c>
      <c r="D305" s="50" t="s">
        <v>51</v>
      </c>
      <c r="E305" s="50">
        <v>486</v>
      </c>
      <c r="F305" s="50" t="s">
        <v>427</v>
      </c>
      <c r="G305" s="50" t="s">
        <v>785</v>
      </c>
      <c r="H305" s="50">
        <v>9.1</v>
      </c>
      <c r="I305" s="50">
        <v>11.5</v>
      </c>
      <c r="J305" s="50">
        <v>2.4</v>
      </c>
      <c r="K305" s="50" t="s">
        <v>1823</v>
      </c>
      <c r="L305" s="50" t="s">
        <v>211</v>
      </c>
      <c r="M305" s="50" t="s">
        <v>731</v>
      </c>
      <c r="N305" s="50">
        <v>3.4</v>
      </c>
      <c r="O305" s="104" t="s">
        <v>1761</v>
      </c>
      <c r="P305" s="50" t="s">
        <v>1775</v>
      </c>
      <c r="Q305" s="105">
        <v>58927</v>
      </c>
    </row>
    <row r="306" spans="1:17" ht="15" customHeight="1" x14ac:dyDescent="0.25">
      <c r="A306" s="49" t="s">
        <v>2176</v>
      </c>
      <c r="B306" s="50" t="s">
        <v>1786</v>
      </c>
      <c r="C306" s="50" t="s">
        <v>131</v>
      </c>
      <c r="D306" s="50" t="s">
        <v>119</v>
      </c>
      <c r="E306" s="50">
        <v>360</v>
      </c>
      <c r="F306" s="50" t="s">
        <v>1003</v>
      </c>
      <c r="G306" s="50"/>
      <c r="H306" s="50">
        <v>4.9000000000000004</v>
      </c>
      <c r="I306" s="50"/>
      <c r="J306" s="50">
        <v>0</v>
      </c>
      <c r="K306" s="50" t="s">
        <v>1759</v>
      </c>
      <c r="L306" s="50" t="s">
        <v>240</v>
      </c>
      <c r="M306" s="50" t="s">
        <v>1770</v>
      </c>
      <c r="N306" s="50">
        <v>19.2</v>
      </c>
      <c r="O306" s="50" t="s">
        <v>1756</v>
      </c>
      <c r="P306" s="50"/>
      <c r="Q306" s="105">
        <v>89637</v>
      </c>
    </row>
    <row r="307" spans="1:17" ht="15" customHeight="1" x14ac:dyDescent="0.25">
      <c r="A307" s="49" t="s">
        <v>2177</v>
      </c>
      <c r="B307" s="50" t="s">
        <v>1812</v>
      </c>
      <c r="C307" s="50" t="s">
        <v>86</v>
      </c>
      <c r="D307" s="50" t="s">
        <v>68</v>
      </c>
      <c r="E307" s="50">
        <v>135</v>
      </c>
      <c r="F307" s="50" t="s">
        <v>2178</v>
      </c>
      <c r="G307" s="50" t="s">
        <v>1138</v>
      </c>
      <c r="H307" s="50">
        <v>2.1</v>
      </c>
      <c r="I307" s="50">
        <v>2.7</v>
      </c>
      <c r="J307" s="50">
        <v>0.6</v>
      </c>
      <c r="K307" s="50" t="s">
        <v>1807</v>
      </c>
      <c r="L307" s="50" t="s">
        <v>174</v>
      </c>
      <c r="M307" s="50" t="s">
        <v>1755</v>
      </c>
      <c r="N307" s="50">
        <v>14.8</v>
      </c>
      <c r="O307" s="104" t="s">
        <v>1761</v>
      </c>
      <c r="P307" s="50" t="s">
        <v>1775</v>
      </c>
      <c r="Q307" s="105">
        <v>20570</v>
      </c>
    </row>
    <row r="308" spans="1:17" ht="15" customHeight="1" x14ac:dyDescent="0.25">
      <c r="A308" s="49" t="s">
        <v>2179</v>
      </c>
      <c r="B308" s="50" t="s">
        <v>1812</v>
      </c>
      <c r="C308" s="50" t="s">
        <v>86</v>
      </c>
      <c r="D308" s="50" t="s">
        <v>68</v>
      </c>
      <c r="E308" s="50">
        <v>135</v>
      </c>
      <c r="F308" s="50" t="s">
        <v>1579</v>
      </c>
      <c r="G308" s="50"/>
      <c r="H308" s="50">
        <v>2.5</v>
      </c>
      <c r="I308" s="50"/>
      <c r="J308" s="50">
        <v>0</v>
      </c>
      <c r="K308" s="50" t="s">
        <v>1774</v>
      </c>
      <c r="L308" s="50" t="s">
        <v>136</v>
      </c>
      <c r="M308" s="50" t="s">
        <v>1790</v>
      </c>
      <c r="N308" s="50">
        <v>0.7</v>
      </c>
      <c r="O308" s="104" t="s">
        <v>700</v>
      </c>
      <c r="P308" s="50"/>
      <c r="Q308" s="105">
        <v>25143</v>
      </c>
    </row>
    <row r="309" spans="1:17" ht="15" customHeight="1" x14ac:dyDescent="0.25">
      <c r="A309" s="49" t="s">
        <v>2180</v>
      </c>
      <c r="B309" s="50" t="s">
        <v>1825</v>
      </c>
      <c r="C309" s="50" t="s">
        <v>103</v>
      </c>
      <c r="D309" s="50" t="s">
        <v>72</v>
      </c>
      <c r="E309" s="50">
        <v>64</v>
      </c>
      <c r="F309" s="50" t="s">
        <v>1491</v>
      </c>
      <c r="G309" s="50" t="s">
        <v>923</v>
      </c>
      <c r="H309" s="50">
        <v>0.9</v>
      </c>
      <c r="I309" s="50">
        <v>1.2</v>
      </c>
      <c r="J309" s="50">
        <v>0.3</v>
      </c>
      <c r="K309" s="50" t="s">
        <v>1754</v>
      </c>
      <c r="L309" s="50" t="s">
        <v>167</v>
      </c>
      <c r="M309" s="50" t="s">
        <v>1765</v>
      </c>
      <c r="N309" s="50">
        <v>27.8</v>
      </c>
      <c r="O309" s="104" t="s">
        <v>1761</v>
      </c>
      <c r="P309" s="50" t="s">
        <v>1798</v>
      </c>
      <c r="Q309" s="105">
        <v>9291</v>
      </c>
    </row>
    <row r="310" spans="1:17" ht="15" customHeight="1" x14ac:dyDescent="0.25">
      <c r="A310" s="49" t="s">
        <v>2181</v>
      </c>
      <c r="B310" s="50" t="s">
        <v>1768</v>
      </c>
      <c r="C310" s="50" t="s">
        <v>51</v>
      </c>
      <c r="D310" s="50" t="s">
        <v>103</v>
      </c>
      <c r="E310" s="50">
        <v>350</v>
      </c>
      <c r="F310" s="50" t="s">
        <v>1880</v>
      </c>
      <c r="G310" s="50" t="s">
        <v>1880</v>
      </c>
      <c r="H310" s="50">
        <v>5.4</v>
      </c>
      <c r="I310" s="50">
        <v>7.9</v>
      </c>
      <c r="J310" s="50">
        <v>2.5</v>
      </c>
      <c r="K310" s="50" t="s">
        <v>1797</v>
      </c>
      <c r="L310" s="50" t="s">
        <v>286</v>
      </c>
      <c r="M310" s="50" t="s">
        <v>1755</v>
      </c>
      <c r="N310" s="50">
        <v>14.4</v>
      </c>
      <c r="O310" s="104" t="s">
        <v>1761</v>
      </c>
      <c r="P310" s="50" t="s">
        <v>1775</v>
      </c>
      <c r="Q310" s="105">
        <v>72571</v>
      </c>
    </row>
    <row r="311" spans="1:17" ht="15" customHeight="1" x14ac:dyDescent="0.25">
      <c r="A311" s="49" t="s">
        <v>2182</v>
      </c>
      <c r="B311" s="50" t="s">
        <v>1764</v>
      </c>
      <c r="C311" s="50" t="s">
        <v>51</v>
      </c>
      <c r="D311" s="50" t="s">
        <v>62</v>
      </c>
      <c r="E311" s="50">
        <v>160</v>
      </c>
      <c r="F311" s="50" t="s">
        <v>825</v>
      </c>
      <c r="G311" s="50" t="s">
        <v>2183</v>
      </c>
      <c r="H311" s="50">
        <v>2.6</v>
      </c>
      <c r="I311" s="50">
        <v>3.1</v>
      </c>
      <c r="J311" s="50">
        <v>0.5</v>
      </c>
      <c r="K311" s="50" t="s">
        <v>1807</v>
      </c>
      <c r="L311" s="50" t="s">
        <v>129</v>
      </c>
      <c r="M311" s="50" t="s">
        <v>1755</v>
      </c>
      <c r="N311" s="50">
        <v>20</v>
      </c>
      <c r="O311" s="104" t="s">
        <v>1761</v>
      </c>
      <c r="P311" s="50" t="s">
        <v>1775</v>
      </c>
      <c r="Q311" s="105">
        <v>35606</v>
      </c>
    </row>
    <row r="312" spans="1:17" ht="15" customHeight="1" x14ac:dyDescent="0.25">
      <c r="A312" s="49" t="s">
        <v>2184</v>
      </c>
      <c r="B312" s="50" t="s">
        <v>1758</v>
      </c>
      <c r="C312" s="50" t="s">
        <v>86</v>
      </c>
      <c r="D312" s="50" t="s">
        <v>51</v>
      </c>
      <c r="E312" s="50">
        <v>165</v>
      </c>
      <c r="F312" s="50" t="s">
        <v>1253</v>
      </c>
      <c r="G312" s="50" t="s">
        <v>1044</v>
      </c>
      <c r="H312" s="50">
        <v>2.6</v>
      </c>
      <c r="I312" s="50">
        <v>2.9</v>
      </c>
      <c r="J312" s="50">
        <v>0.3</v>
      </c>
      <c r="K312" s="50" t="s">
        <v>1817</v>
      </c>
      <c r="L312" s="50" t="s">
        <v>167</v>
      </c>
      <c r="M312" s="50" t="s">
        <v>1760</v>
      </c>
      <c r="N312" s="50">
        <v>4.8</v>
      </c>
      <c r="O312" s="104" t="s">
        <v>1761</v>
      </c>
      <c r="P312" s="50" t="s">
        <v>1762</v>
      </c>
      <c r="Q312" s="105">
        <v>29446</v>
      </c>
    </row>
    <row r="313" spans="1:17" ht="15" customHeight="1" x14ac:dyDescent="0.25">
      <c r="A313" s="49" t="s">
        <v>2185</v>
      </c>
      <c r="B313" s="50" t="s">
        <v>1786</v>
      </c>
      <c r="C313" s="50" t="s">
        <v>131</v>
      </c>
      <c r="D313" s="50" t="s">
        <v>119</v>
      </c>
      <c r="E313" s="50">
        <v>360</v>
      </c>
      <c r="F313" s="50" t="s">
        <v>1732</v>
      </c>
      <c r="G313" s="50"/>
      <c r="H313" s="50">
        <v>4.9000000000000004</v>
      </c>
      <c r="I313" s="50"/>
      <c r="J313" s="50">
        <v>0</v>
      </c>
      <c r="K313" s="50" t="s">
        <v>1836</v>
      </c>
      <c r="L313" s="50" t="s">
        <v>97</v>
      </c>
      <c r="M313" s="50" t="s">
        <v>1790</v>
      </c>
      <c r="N313" s="50">
        <v>10.9</v>
      </c>
      <c r="O313" s="50" t="s">
        <v>1756</v>
      </c>
      <c r="P313" s="50"/>
      <c r="Q313" s="105">
        <v>88829</v>
      </c>
    </row>
    <row r="314" spans="1:17" ht="15" customHeight="1" x14ac:dyDescent="0.25">
      <c r="A314" s="49" t="s">
        <v>2186</v>
      </c>
      <c r="B314" s="50" t="s">
        <v>1758</v>
      </c>
      <c r="C314" s="50" t="s">
        <v>86</v>
      </c>
      <c r="D314" s="50" t="s">
        <v>51</v>
      </c>
      <c r="E314" s="50">
        <v>165</v>
      </c>
      <c r="F314" s="50" t="s">
        <v>1213</v>
      </c>
      <c r="G314" s="50"/>
      <c r="H314" s="50">
        <v>2.2999999999999998</v>
      </c>
      <c r="I314" s="50"/>
      <c r="J314" s="50">
        <v>0</v>
      </c>
      <c r="K314" s="50" t="s">
        <v>1759</v>
      </c>
      <c r="L314" s="50" t="s">
        <v>259</v>
      </c>
      <c r="M314" s="50" t="s">
        <v>1784</v>
      </c>
      <c r="N314" s="50">
        <v>8</v>
      </c>
      <c r="O314" s="50" t="s">
        <v>1756</v>
      </c>
      <c r="P314" s="50"/>
      <c r="Q314" s="105">
        <v>20308</v>
      </c>
    </row>
    <row r="315" spans="1:17" ht="15" customHeight="1" x14ac:dyDescent="0.25">
      <c r="A315" s="49" t="s">
        <v>2187</v>
      </c>
      <c r="B315" s="50" t="s">
        <v>1786</v>
      </c>
      <c r="C315" s="50" t="s">
        <v>131</v>
      </c>
      <c r="D315" s="50" t="s">
        <v>119</v>
      </c>
      <c r="E315" s="50">
        <v>360</v>
      </c>
      <c r="F315" s="50" t="s">
        <v>764</v>
      </c>
      <c r="G315" s="50"/>
      <c r="H315" s="50">
        <v>5.4</v>
      </c>
      <c r="I315" s="50"/>
      <c r="J315" s="50">
        <v>0</v>
      </c>
      <c r="K315" s="50" t="s">
        <v>1759</v>
      </c>
      <c r="L315" s="50" t="s">
        <v>145</v>
      </c>
      <c r="M315" s="50" t="s">
        <v>1755</v>
      </c>
      <c r="N315" s="50">
        <v>15.3</v>
      </c>
      <c r="O315" s="104" t="s">
        <v>700</v>
      </c>
      <c r="P315" s="50"/>
      <c r="Q315" s="105">
        <v>48200</v>
      </c>
    </row>
    <row r="316" spans="1:17" ht="15" customHeight="1" x14ac:dyDescent="0.25">
      <c r="A316" s="49" t="s">
        <v>2188</v>
      </c>
      <c r="B316" s="50" t="s">
        <v>1822</v>
      </c>
      <c r="C316" s="50" t="s">
        <v>96</v>
      </c>
      <c r="D316" s="50" t="s">
        <v>83</v>
      </c>
      <c r="E316" s="50">
        <v>120</v>
      </c>
      <c r="F316" s="50" t="s">
        <v>1037</v>
      </c>
      <c r="G316" s="50"/>
      <c r="H316" s="50">
        <v>1.9</v>
      </c>
      <c r="I316" s="50"/>
      <c r="J316" s="50">
        <v>0</v>
      </c>
      <c r="K316" s="50" t="s">
        <v>1841</v>
      </c>
      <c r="L316" s="50" t="s">
        <v>241</v>
      </c>
      <c r="M316" s="50" t="s">
        <v>1790</v>
      </c>
      <c r="N316" s="50">
        <v>28.6</v>
      </c>
      <c r="O316" s="104" t="s">
        <v>700</v>
      </c>
      <c r="P316" s="50"/>
      <c r="Q316" s="105">
        <v>26587</v>
      </c>
    </row>
    <row r="317" spans="1:17" ht="15" customHeight="1" x14ac:dyDescent="0.25">
      <c r="A317" s="49" t="s">
        <v>2189</v>
      </c>
      <c r="B317" s="50" t="s">
        <v>1786</v>
      </c>
      <c r="C317" s="50" t="s">
        <v>131</v>
      </c>
      <c r="D317" s="50" t="s">
        <v>119</v>
      </c>
      <c r="E317" s="50">
        <v>360</v>
      </c>
      <c r="F317" s="50" t="s">
        <v>1253</v>
      </c>
      <c r="G317" s="50" t="s">
        <v>1352</v>
      </c>
      <c r="H317" s="50">
        <v>4.5</v>
      </c>
      <c r="I317" s="50">
        <v>4.8</v>
      </c>
      <c r="J317" s="50">
        <v>0.3</v>
      </c>
      <c r="K317" s="50" t="s">
        <v>1783</v>
      </c>
      <c r="L317" s="50" t="s">
        <v>186</v>
      </c>
      <c r="M317" s="50" t="s">
        <v>1765</v>
      </c>
      <c r="N317" s="50">
        <v>3.5</v>
      </c>
      <c r="O317" s="104" t="s">
        <v>1761</v>
      </c>
      <c r="P317" s="50" t="s">
        <v>1820</v>
      </c>
      <c r="Q317" s="105">
        <v>86425</v>
      </c>
    </row>
    <row r="318" spans="1:17" ht="15" customHeight="1" x14ac:dyDescent="0.25">
      <c r="A318" s="49" t="s">
        <v>2190</v>
      </c>
      <c r="B318" s="50" t="s">
        <v>1768</v>
      </c>
      <c r="C318" s="50" t="s">
        <v>51</v>
      </c>
      <c r="D318" s="50" t="s">
        <v>103</v>
      </c>
      <c r="E318" s="50">
        <v>350</v>
      </c>
      <c r="F318" s="50" t="s">
        <v>1150</v>
      </c>
      <c r="G318" s="50"/>
      <c r="H318" s="50">
        <v>6.7</v>
      </c>
      <c r="I318" s="50"/>
      <c r="J318" s="50">
        <v>0</v>
      </c>
      <c r="K318" s="50" t="s">
        <v>1774</v>
      </c>
      <c r="L318" s="50" t="s">
        <v>277</v>
      </c>
      <c r="M318" s="50" t="s">
        <v>1790</v>
      </c>
      <c r="N318" s="50">
        <v>24.8</v>
      </c>
      <c r="O318" s="104" t="s">
        <v>700</v>
      </c>
      <c r="P318" s="50"/>
      <c r="Q318" s="105">
        <v>68836</v>
      </c>
    </row>
    <row r="319" spans="1:17" ht="15" customHeight="1" x14ac:dyDescent="0.25">
      <c r="A319" s="49" t="s">
        <v>2191</v>
      </c>
      <c r="B319" s="50" t="s">
        <v>1772</v>
      </c>
      <c r="C319" s="50" t="s">
        <v>51</v>
      </c>
      <c r="D319" s="50" t="s">
        <v>91</v>
      </c>
      <c r="E319" s="50">
        <v>64</v>
      </c>
      <c r="F319" s="50" t="s">
        <v>2192</v>
      </c>
      <c r="G319" s="50" t="s">
        <v>331</v>
      </c>
      <c r="H319" s="50">
        <v>1</v>
      </c>
      <c r="I319" s="50">
        <v>1.2</v>
      </c>
      <c r="J319" s="50">
        <v>0.2</v>
      </c>
      <c r="K319" s="50" t="s">
        <v>1797</v>
      </c>
      <c r="L319" s="50" t="s">
        <v>236</v>
      </c>
      <c r="M319" s="50" t="s">
        <v>1755</v>
      </c>
      <c r="N319" s="50">
        <v>23</v>
      </c>
      <c r="O319" s="104" t="s">
        <v>1761</v>
      </c>
      <c r="P319" s="50" t="s">
        <v>1808</v>
      </c>
      <c r="Q319" s="105">
        <v>8849</v>
      </c>
    </row>
    <row r="320" spans="1:17" ht="15" customHeight="1" x14ac:dyDescent="0.25">
      <c r="A320" s="49" t="s">
        <v>2193</v>
      </c>
      <c r="B320" s="50" t="s">
        <v>1758</v>
      </c>
      <c r="C320" s="50" t="s">
        <v>86</v>
      </c>
      <c r="D320" s="50" t="s">
        <v>51</v>
      </c>
      <c r="E320" s="50">
        <v>165</v>
      </c>
      <c r="F320" s="50" t="s">
        <v>1869</v>
      </c>
      <c r="G320" s="50"/>
      <c r="H320" s="50">
        <v>2.2999999999999998</v>
      </c>
      <c r="I320" s="50"/>
      <c r="J320" s="50">
        <v>0</v>
      </c>
      <c r="K320" s="50" t="s">
        <v>1817</v>
      </c>
      <c r="L320" s="50" t="s">
        <v>182</v>
      </c>
      <c r="M320" s="50" t="s">
        <v>1770</v>
      </c>
      <c r="N320" s="50">
        <v>13.7</v>
      </c>
      <c r="O320" s="104" t="s">
        <v>700</v>
      </c>
      <c r="P320" s="50"/>
      <c r="Q320" s="105">
        <v>23750</v>
      </c>
    </row>
    <row r="321" spans="1:17" ht="15" customHeight="1" x14ac:dyDescent="0.25">
      <c r="A321" s="49" t="s">
        <v>2194</v>
      </c>
      <c r="B321" s="50" t="s">
        <v>1825</v>
      </c>
      <c r="C321" s="50" t="s">
        <v>103</v>
      </c>
      <c r="D321" s="50" t="s">
        <v>72</v>
      </c>
      <c r="E321" s="50">
        <v>64</v>
      </c>
      <c r="F321" s="50" t="s">
        <v>1275</v>
      </c>
      <c r="G321" s="50" t="s">
        <v>1275</v>
      </c>
      <c r="H321" s="50">
        <v>1.1000000000000001</v>
      </c>
      <c r="I321" s="50">
        <v>1</v>
      </c>
      <c r="J321" s="50">
        <v>0</v>
      </c>
      <c r="K321" s="50" t="s">
        <v>1754</v>
      </c>
      <c r="L321" s="50" t="s">
        <v>270</v>
      </c>
      <c r="M321" s="50" t="s">
        <v>1760</v>
      </c>
      <c r="N321" s="50">
        <v>8</v>
      </c>
      <c r="O321" s="104" t="s">
        <v>1761</v>
      </c>
      <c r="P321" s="50" t="s">
        <v>1780</v>
      </c>
      <c r="Q321" s="105">
        <v>13023</v>
      </c>
    </row>
    <row r="322" spans="1:17" ht="15" customHeight="1" x14ac:dyDescent="0.25">
      <c r="A322" s="49" t="s">
        <v>2195</v>
      </c>
      <c r="B322" s="50" t="s">
        <v>1786</v>
      </c>
      <c r="C322" s="50" t="s">
        <v>131</v>
      </c>
      <c r="D322" s="50" t="s">
        <v>119</v>
      </c>
      <c r="E322" s="50">
        <v>360</v>
      </c>
      <c r="F322" s="50" t="s">
        <v>1886</v>
      </c>
      <c r="G322" s="50" t="s">
        <v>1611</v>
      </c>
      <c r="H322" s="50">
        <v>7</v>
      </c>
      <c r="I322" s="50">
        <v>10.5</v>
      </c>
      <c r="J322" s="50">
        <v>3.5</v>
      </c>
      <c r="K322" s="50" t="s">
        <v>1834</v>
      </c>
      <c r="L322" s="50" t="s">
        <v>100</v>
      </c>
      <c r="M322" s="50" t="s">
        <v>1755</v>
      </c>
      <c r="N322" s="50">
        <v>11.5</v>
      </c>
      <c r="O322" s="104" t="s">
        <v>1761</v>
      </c>
      <c r="P322" s="50" t="s">
        <v>1762</v>
      </c>
      <c r="Q322" s="105">
        <v>80178</v>
      </c>
    </row>
    <row r="323" spans="1:17" ht="15" customHeight="1" x14ac:dyDescent="0.25">
      <c r="A323" s="49" t="s">
        <v>2196</v>
      </c>
      <c r="B323" s="50" t="s">
        <v>1825</v>
      </c>
      <c r="C323" s="50" t="s">
        <v>103</v>
      </c>
      <c r="D323" s="50" t="s">
        <v>72</v>
      </c>
      <c r="E323" s="50">
        <v>64</v>
      </c>
      <c r="F323" s="50" t="s">
        <v>1606</v>
      </c>
      <c r="G323" s="50" t="s">
        <v>1606</v>
      </c>
      <c r="H323" s="50">
        <v>0.9</v>
      </c>
      <c r="I323" s="50">
        <v>0.9</v>
      </c>
      <c r="J323" s="50">
        <v>0</v>
      </c>
      <c r="K323" s="50" t="s">
        <v>1841</v>
      </c>
      <c r="L323" s="50" t="s">
        <v>105</v>
      </c>
      <c r="M323" s="50" t="s">
        <v>1755</v>
      </c>
      <c r="N323" s="50">
        <v>3.2</v>
      </c>
      <c r="O323" s="104" t="s">
        <v>1761</v>
      </c>
      <c r="P323" s="50" t="s">
        <v>1780</v>
      </c>
      <c r="Q323" s="105">
        <v>14324</v>
      </c>
    </row>
    <row r="324" spans="1:17" ht="15" customHeight="1" x14ac:dyDescent="0.25">
      <c r="A324" s="49" t="s">
        <v>2197</v>
      </c>
      <c r="B324" s="50" t="s">
        <v>1777</v>
      </c>
      <c r="C324" s="50" t="s">
        <v>68</v>
      </c>
      <c r="D324" s="50" t="s">
        <v>86</v>
      </c>
      <c r="E324" s="50">
        <v>135</v>
      </c>
      <c r="F324" s="50" t="s">
        <v>1251</v>
      </c>
      <c r="G324" s="50" t="s">
        <v>1430</v>
      </c>
      <c r="H324" s="50">
        <v>2</v>
      </c>
      <c r="I324" s="50">
        <v>2.1</v>
      </c>
      <c r="J324" s="50">
        <v>0.1</v>
      </c>
      <c r="K324" s="50" t="s">
        <v>1759</v>
      </c>
      <c r="L324" s="50" t="s">
        <v>282</v>
      </c>
      <c r="M324" s="50" t="s">
        <v>1765</v>
      </c>
      <c r="N324" s="50">
        <v>23.1</v>
      </c>
      <c r="O324" s="104" t="s">
        <v>1761</v>
      </c>
      <c r="P324" s="50" t="s">
        <v>1798</v>
      </c>
      <c r="Q324" s="105">
        <v>27615</v>
      </c>
    </row>
    <row r="325" spans="1:17" ht="15" customHeight="1" x14ac:dyDescent="0.25">
      <c r="A325" s="49" t="s">
        <v>2198</v>
      </c>
      <c r="B325" s="50" t="s">
        <v>1768</v>
      </c>
      <c r="C325" s="50" t="s">
        <v>51</v>
      </c>
      <c r="D325" s="50" t="s">
        <v>103</v>
      </c>
      <c r="E325" s="50">
        <v>350</v>
      </c>
      <c r="F325" s="50" t="s">
        <v>1923</v>
      </c>
      <c r="G325" s="50"/>
      <c r="H325" s="50">
        <v>5.8</v>
      </c>
      <c r="I325" s="50"/>
      <c r="J325" s="50">
        <v>0</v>
      </c>
      <c r="K325" s="50" t="s">
        <v>1834</v>
      </c>
      <c r="L325" s="50" t="s">
        <v>289</v>
      </c>
      <c r="M325" s="50" t="s">
        <v>1784</v>
      </c>
      <c r="N325" s="50">
        <v>22.3</v>
      </c>
      <c r="O325" s="104" t="s">
        <v>700</v>
      </c>
      <c r="P325" s="50"/>
      <c r="Q325" s="105">
        <v>82468</v>
      </c>
    </row>
    <row r="326" spans="1:17" ht="15" customHeight="1" x14ac:dyDescent="0.25">
      <c r="A326" s="49" t="s">
        <v>2199</v>
      </c>
      <c r="B326" s="50" t="s">
        <v>1786</v>
      </c>
      <c r="C326" s="50" t="s">
        <v>131</v>
      </c>
      <c r="D326" s="50" t="s">
        <v>119</v>
      </c>
      <c r="E326" s="50">
        <v>360</v>
      </c>
      <c r="F326" s="50" t="s">
        <v>1284</v>
      </c>
      <c r="G326" s="50" t="s">
        <v>1438</v>
      </c>
      <c r="H326" s="50">
        <v>4.8</v>
      </c>
      <c r="I326" s="50">
        <v>6.8</v>
      </c>
      <c r="J326" s="50">
        <v>2</v>
      </c>
      <c r="K326" s="50" t="s">
        <v>1779</v>
      </c>
      <c r="L326" s="50" t="s">
        <v>60</v>
      </c>
      <c r="M326" s="50" t="s">
        <v>731</v>
      </c>
      <c r="N326" s="50">
        <v>10</v>
      </c>
      <c r="O326" s="104" t="s">
        <v>1761</v>
      </c>
      <c r="P326" s="50" t="s">
        <v>1762</v>
      </c>
      <c r="Q326" s="105">
        <v>68115</v>
      </c>
    </row>
    <row r="327" spans="1:17" ht="15" customHeight="1" x14ac:dyDescent="0.25">
      <c r="A327" s="49" t="s">
        <v>2200</v>
      </c>
      <c r="B327" s="50" t="s">
        <v>1753</v>
      </c>
      <c r="C327" s="50" t="s">
        <v>96</v>
      </c>
      <c r="D327" s="50" t="s">
        <v>51</v>
      </c>
      <c r="E327" s="50">
        <v>486</v>
      </c>
      <c r="F327" s="50" t="s">
        <v>1403</v>
      </c>
      <c r="G327" s="50" t="s">
        <v>1403</v>
      </c>
      <c r="H327" s="50">
        <v>6.3</v>
      </c>
      <c r="I327" s="50">
        <v>6.8</v>
      </c>
      <c r="J327" s="50">
        <v>0.5</v>
      </c>
      <c r="K327" s="50" t="s">
        <v>1841</v>
      </c>
      <c r="L327" s="50" t="s">
        <v>237</v>
      </c>
      <c r="M327" s="50" t="s">
        <v>731</v>
      </c>
      <c r="N327" s="50">
        <v>6.1</v>
      </c>
      <c r="O327" s="104" t="s">
        <v>1761</v>
      </c>
      <c r="P327" s="50" t="s">
        <v>1808</v>
      </c>
      <c r="Q327" s="105">
        <v>92022</v>
      </c>
    </row>
    <row r="328" spans="1:17" ht="15" customHeight="1" x14ac:dyDescent="0.25">
      <c r="A328" s="49" t="s">
        <v>2201</v>
      </c>
      <c r="B328" s="50" t="s">
        <v>1777</v>
      </c>
      <c r="C328" s="50" t="s">
        <v>68</v>
      </c>
      <c r="D328" s="50" t="s">
        <v>86</v>
      </c>
      <c r="E328" s="50">
        <v>135</v>
      </c>
      <c r="F328" s="50" t="s">
        <v>2202</v>
      </c>
      <c r="G328" s="50" t="s">
        <v>1307</v>
      </c>
      <c r="H328" s="50">
        <v>2.2000000000000002</v>
      </c>
      <c r="I328" s="50">
        <v>2.2999999999999998</v>
      </c>
      <c r="J328" s="50">
        <v>0.1</v>
      </c>
      <c r="K328" s="50" t="s">
        <v>1823</v>
      </c>
      <c r="L328" s="50" t="s">
        <v>173</v>
      </c>
      <c r="M328" s="50" t="s">
        <v>1770</v>
      </c>
      <c r="N328" s="50">
        <v>9.8000000000000007</v>
      </c>
      <c r="O328" s="104" t="s">
        <v>1761</v>
      </c>
      <c r="P328" s="50" t="s">
        <v>1798</v>
      </c>
      <c r="Q328" s="105">
        <v>23646</v>
      </c>
    </row>
    <row r="329" spans="1:17" ht="15" customHeight="1" x14ac:dyDescent="0.25">
      <c r="A329" s="49" t="s">
        <v>2203</v>
      </c>
      <c r="B329" s="50" t="s">
        <v>1812</v>
      </c>
      <c r="C329" s="50" t="s">
        <v>86</v>
      </c>
      <c r="D329" s="50" t="s">
        <v>68</v>
      </c>
      <c r="E329" s="50">
        <v>135</v>
      </c>
      <c r="F329" s="50" t="s">
        <v>825</v>
      </c>
      <c r="G329" s="50" t="s">
        <v>1286</v>
      </c>
      <c r="H329" s="50">
        <v>2.2000000000000002</v>
      </c>
      <c r="I329" s="50">
        <v>2.6</v>
      </c>
      <c r="J329" s="50">
        <v>0.4</v>
      </c>
      <c r="K329" s="50" t="s">
        <v>1807</v>
      </c>
      <c r="L329" s="50" t="s">
        <v>202</v>
      </c>
      <c r="M329" s="50" t="s">
        <v>1765</v>
      </c>
      <c r="N329" s="50">
        <v>25.1</v>
      </c>
      <c r="O329" s="104" t="s">
        <v>1761</v>
      </c>
      <c r="P329" s="50" t="s">
        <v>1798</v>
      </c>
      <c r="Q329" s="105">
        <v>22876</v>
      </c>
    </row>
    <row r="330" spans="1:17" ht="15" customHeight="1" x14ac:dyDescent="0.25">
      <c r="A330" s="49" t="s">
        <v>2204</v>
      </c>
      <c r="B330" s="50" t="s">
        <v>1825</v>
      </c>
      <c r="C330" s="50" t="s">
        <v>103</v>
      </c>
      <c r="D330" s="50" t="s">
        <v>72</v>
      </c>
      <c r="E330" s="50">
        <v>64</v>
      </c>
      <c r="F330" s="50" t="s">
        <v>799</v>
      </c>
      <c r="G330" s="50"/>
      <c r="H330" s="50">
        <v>1.1000000000000001</v>
      </c>
      <c r="I330" s="50"/>
      <c r="J330" s="50">
        <v>0</v>
      </c>
      <c r="K330" s="50" t="s">
        <v>1836</v>
      </c>
      <c r="L330" s="50" t="s">
        <v>241</v>
      </c>
      <c r="M330" s="50" t="s">
        <v>1770</v>
      </c>
      <c r="N330" s="50">
        <v>4.2</v>
      </c>
      <c r="O330" s="104" t="s">
        <v>1766</v>
      </c>
      <c r="P330" s="50"/>
      <c r="Q330" s="105">
        <v>11896</v>
      </c>
    </row>
    <row r="331" spans="1:17" ht="15" customHeight="1" x14ac:dyDescent="0.25">
      <c r="A331" s="49" t="s">
        <v>2205</v>
      </c>
      <c r="B331" s="50" t="s">
        <v>1772</v>
      </c>
      <c r="C331" s="50" t="s">
        <v>51</v>
      </c>
      <c r="D331" s="50" t="s">
        <v>91</v>
      </c>
      <c r="E331" s="50">
        <v>64</v>
      </c>
      <c r="F331" s="50" t="s">
        <v>1631</v>
      </c>
      <c r="G331" s="50"/>
      <c r="H331" s="50">
        <v>1.1000000000000001</v>
      </c>
      <c r="I331" s="50"/>
      <c r="J331" s="50">
        <v>0</v>
      </c>
      <c r="K331" s="50" t="s">
        <v>1803</v>
      </c>
      <c r="L331" s="50" t="s">
        <v>279</v>
      </c>
      <c r="M331" s="50" t="s">
        <v>1755</v>
      </c>
      <c r="N331" s="50">
        <v>11.1</v>
      </c>
      <c r="O331" s="104" t="s">
        <v>1766</v>
      </c>
      <c r="P331" s="50"/>
      <c r="Q331" s="105">
        <v>11134</v>
      </c>
    </row>
    <row r="332" spans="1:17" ht="15" customHeight="1" x14ac:dyDescent="0.25">
      <c r="A332" s="49" t="s">
        <v>2206</v>
      </c>
      <c r="B332" s="50" t="s">
        <v>1822</v>
      </c>
      <c r="C332" s="50" t="s">
        <v>96</v>
      </c>
      <c r="D332" s="50" t="s">
        <v>83</v>
      </c>
      <c r="E332" s="50">
        <v>120</v>
      </c>
      <c r="F332" s="50" t="s">
        <v>1289</v>
      </c>
      <c r="G332" s="50" t="s">
        <v>1289</v>
      </c>
      <c r="H332" s="50">
        <v>1.9</v>
      </c>
      <c r="I332" s="50">
        <v>2.2000000000000002</v>
      </c>
      <c r="J332" s="50">
        <v>0.3</v>
      </c>
      <c r="K332" s="50" t="s">
        <v>1834</v>
      </c>
      <c r="L332" s="50" t="s">
        <v>116</v>
      </c>
      <c r="M332" s="50" t="s">
        <v>1790</v>
      </c>
      <c r="N332" s="50">
        <v>1</v>
      </c>
      <c r="O332" s="104" t="s">
        <v>1761</v>
      </c>
      <c r="P332" s="50" t="s">
        <v>1762</v>
      </c>
      <c r="Q332" s="105">
        <v>20022</v>
      </c>
    </row>
    <row r="333" spans="1:17" ht="15" customHeight="1" x14ac:dyDescent="0.25">
      <c r="A333" s="49" t="s">
        <v>2207</v>
      </c>
      <c r="B333" s="50" t="s">
        <v>1812</v>
      </c>
      <c r="C333" s="50" t="s">
        <v>86</v>
      </c>
      <c r="D333" s="50" t="s">
        <v>68</v>
      </c>
      <c r="E333" s="50">
        <v>135</v>
      </c>
      <c r="F333" s="50" t="s">
        <v>2208</v>
      </c>
      <c r="G333" s="50"/>
      <c r="H333" s="50">
        <v>1.9</v>
      </c>
      <c r="I333" s="50"/>
      <c r="J333" s="50">
        <v>0</v>
      </c>
      <c r="K333" s="50" t="s">
        <v>1759</v>
      </c>
      <c r="L333" s="50" t="s">
        <v>269</v>
      </c>
      <c r="M333" s="50" t="s">
        <v>1765</v>
      </c>
      <c r="N333" s="50">
        <v>19.7</v>
      </c>
      <c r="O333" s="50" t="s">
        <v>1756</v>
      </c>
      <c r="P333" s="50"/>
      <c r="Q333" s="105">
        <v>31573</v>
      </c>
    </row>
    <row r="334" spans="1:17" ht="15" customHeight="1" x14ac:dyDescent="0.25">
      <c r="A334" s="49" t="s">
        <v>2209</v>
      </c>
      <c r="B334" s="50" t="s">
        <v>1782</v>
      </c>
      <c r="C334" s="50" t="s">
        <v>51</v>
      </c>
      <c r="D334" s="50" t="s">
        <v>96</v>
      </c>
      <c r="E334" s="50">
        <v>486</v>
      </c>
      <c r="F334" s="50" t="s">
        <v>1096</v>
      </c>
      <c r="G334" s="50" t="s">
        <v>1096</v>
      </c>
      <c r="H334" s="50">
        <v>6.3</v>
      </c>
      <c r="I334" s="50">
        <v>6.2</v>
      </c>
      <c r="J334" s="50">
        <v>0</v>
      </c>
      <c r="K334" s="50" t="s">
        <v>1779</v>
      </c>
      <c r="L334" s="50" t="s">
        <v>125</v>
      </c>
      <c r="M334" s="50" t="s">
        <v>1770</v>
      </c>
      <c r="N334" s="50">
        <v>7.8</v>
      </c>
      <c r="O334" s="104" t="s">
        <v>1761</v>
      </c>
      <c r="P334" s="50" t="s">
        <v>1780</v>
      </c>
      <c r="Q334" s="105">
        <v>67179</v>
      </c>
    </row>
    <row r="335" spans="1:17" ht="15" customHeight="1" x14ac:dyDescent="0.25">
      <c r="A335" s="49" t="s">
        <v>2210</v>
      </c>
      <c r="B335" s="50" t="s">
        <v>1825</v>
      </c>
      <c r="C335" s="50" t="s">
        <v>103</v>
      </c>
      <c r="D335" s="50" t="s">
        <v>72</v>
      </c>
      <c r="E335" s="50">
        <v>64</v>
      </c>
      <c r="F335" s="50" t="s">
        <v>967</v>
      </c>
      <c r="G335" s="50" t="s">
        <v>930</v>
      </c>
      <c r="H335" s="50">
        <v>0.9</v>
      </c>
      <c r="I335" s="50">
        <v>1.3</v>
      </c>
      <c r="J335" s="50">
        <v>0.4</v>
      </c>
      <c r="K335" s="50" t="s">
        <v>1817</v>
      </c>
      <c r="L335" s="50" t="s">
        <v>279</v>
      </c>
      <c r="M335" s="50" t="s">
        <v>1784</v>
      </c>
      <c r="N335" s="50">
        <v>9.1</v>
      </c>
      <c r="O335" s="104" t="s">
        <v>1761</v>
      </c>
      <c r="P335" s="50" t="s">
        <v>1798</v>
      </c>
      <c r="Q335" s="105">
        <v>9133</v>
      </c>
    </row>
    <row r="336" spans="1:17" ht="15" customHeight="1" x14ac:dyDescent="0.25">
      <c r="A336" s="49" t="s">
        <v>2211</v>
      </c>
      <c r="B336" s="50" t="s">
        <v>1855</v>
      </c>
      <c r="C336" s="50" t="s">
        <v>68</v>
      </c>
      <c r="D336" s="50" t="s">
        <v>93</v>
      </c>
      <c r="E336" s="50">
        <v>67</v>
      </c>
      <c r="F336" s="50" t="s">
        <v>2212</v>
      </c>
      <c r="G336" s="50" t="s">
        <v>1169</v>
      </c>
      <c r="H336" s="50">
        <v>0.9</v>
      </c>
      <c r="I336" s="50">
        <v>0.9</v>
      </c>
      <c r="J336" s="50">
        <v>0</v>
      </c>
      <c r="K336" s="50" t="s">
        <v>1807</v>
      </c>
      <c r="L336" s="50" t="s">
        <v>183</v>
      </c>
      <c r="M336" s="50" t="s">
        <v>1765</v>
      </c>
      <c r="N336" s="50">
        <v>23.7</v>
      </c>
      <c r="O336" s="104" t="s">
        <v>1761</v>
      </c>
      <c r="P336" s="50" t="s">
        <v>1780</v>
      </c>
      <c r="Q336" s="105">
        <v>13486</v>
      </c>
    </row>
    <row r="337" spans="1:17" ht="15" customHeight="1" x14ac:dyDescent="0.25">
      <c r="A337" s="49" t="s">
        <v>2213</v>
      </c>
      <c r="B337" s="50" t="s">
        <v>1805</v>
      </c>
      <c r="C337" s="50" t="s">
        <v>51</v>
      </c>
      <c r="D337" s="50" t="s">
        <v>131</v>
      </c>
      <c r="E337" s="50">
        <v>44</v>
      </c>
      <c r="F337" s="50" t="s">
        <v>1606</v>
      </c>
      <c r="G337" s="50" t="s">
        <v>2214</v>
      </c>
      <c r="H337" s="50">
        <v>0.9</v>
      </c>
      <c r="I337" s="50">
        <v>1.3</v>
      </c>
      <c r="J337" s="50">
        <v>0.4</v>
      </c>
      <c r="K337" s="50" t="s">
        <v>1779</v>
      </c>
      <c r="L337" s="50" t="s">
        <v>174</v>
      </c>
      <c r="M337" s="50" t="s">
        <v>1765</v>
      </c>
      <c r="N337" s="50">
        <v>26.7</v>
      </c>
      <c r="O337" s="104" t="s">
        <v>1761</v>
      </c>
      <c r="P337" s="50" t="s">
        <v>1808</v>
      </c>
      <c r="Q337" s="105">
        <v>8366</v>
      </c>
    </row>
    <row r="338" spans="1:17" ht="15" customHeight="1" x14ac:dyDescent="0.25">
      <c r="A338" s="49" t="s">
        <v>2215</v>
      </c>
      <c r="B338" s="50" t="s">
        <v>1758</v>
      </c>
      <c r="C338" s="50" t="s">
        <v>86</v>
      </c>
      <c r="D338" s="50" t="s">
        <v>51</v>
      </c>
      <c r="E338" s="50">
        <v>165</v>
      </c>
      <c r="F338" s="50" t="s">
        <v>2216</v>
      </c>
      <c r="G338" s="50" t="s">
        <v>923</v>
      </c>
      <c r="H338" s="50">
        <v>3.3</v>
      </c>
      <c r="I338" s="50">
        <v>4.9000000000000004</v>
      </c>
      <c r="J338" s="50">
        <v>1.6</v>
      </c>
      <c r="K338" s="50" t="s">
        <v>1794</v>
      </c>
      <c r="L338" s="50" t="s">
        <v>147</v>
      </c>
      <c r="M338" s="50" t="s">
        <v>1765</v>
      </c>
      <c r="N338" s="50">
        <v>12.9</v>
      </c>
      <c r="O338" s="104" t="s">
        <v>1761</v>
      </c>
      <c r="P338" s="50" t="s">
        <v>1820</v>
      </c>
      <c r="Q338" s="105">
        <v>38164</v>
      </c>
    </row>
    <row r="339" spans="1:17" ht="15" customHeight="1" x14ac:dyDescent="0.25">
      <c r="A339" s="49" t="s">
        <v>2217</v>
      </c>
      <c r="B339" s="50" t="s">
        <v>1855</v>
      </c>
      <c r="C339" s="50" t="s">
        <v>68</v>
      </c>
      <c r="D339" s="50" t="s">
        <v>93</v>
      </c>
      <c r="E339" s="50">
        <v>67</v>
      </c>
      <c r="F339" s="50" t="s">
        <v>1011</v>
      </c>
      <c r="G339" s="50"/>
      <c r="H339" s="50">
        <v>1</v>
      </c>
      <c r="I339" s="50"/>
      <c r="J339" s="50">
        <v>0</v>
      </c>
      <c r="K339" s="50" t="s">
        <v>1754</v>
      </c>
      <c r="L339" s="50" t="s">
        <v>49</v>
      </c>
      <c r="M339" s="50" t="s">
        <v>1760</v>
      </c>
      <c r="N339" s="50">
        <v>14.5</v>
      </c>
      <c r="O339" s="104" t="s">
        <v>700</v>
      </c>
      <c r="P339" s="50"/>
      <c r="Q339" s="105">
        <v>10277</v>
      </c>
    </row>
    <row r="340" spans="1:17" ht="15" customHeight="1" x14ac:dyDescent="0.25">
      <c r="A340" s="49" t="s">
        <v>2218</v>
      </c>
      <c r="B340" s="50" t="s">
        <v>1764</v>
      </c>
      <c r="C340" s="50" t="s">
        <v>51</v>
      </c>
      <c r="D340" s="50" t="s">
        <v>62</v>
      </c>
      <c r="E340" s="50">
        <v>160</v>
      </c>
      <c r="F340" s="50" t="s">
        <v>2219</v>
      </c>
      <c r="G340" s="50" t="s">
        <v>803</v>
      </c>
      <c r="H340" s="50">
        <v>2.2000000000000002</v>
      </c>
      <c r="I340" s="50">
        <v>2.1</v>
      </c>
      <c r="J340" s="50">
        <v>0</v>
      </c>
      <c r="K340" s="50" t="s">
        <v>1803</v>
      </c>
      <c r="L340" s="50" t="s">
        <v>216</v>
      </c>
      <c r="M340" s="50" t="s">
        <v>1784</v>
      </c>
      <c r="N340" s="50">
        <v>25</v>
      </c>
      <c r="O340" s="104" t="s">
        <v>1761</v>
      </c>
      <c r="P340" s="50" t="s">
        <v>1780</v>
      </c>
      <c r="Q340" s="105">
        <v>21900</v>
      </c>
    </row>
    <row r="341" spans="1:17" ht="15" customHeight="1" x14ac:dyDescent="0.25">
      <c r="A341" s="49" t="s">
        <v>2220</v>
      </c>
      <c r="B341" s="50" t="s">
        <v>1792</v>
      </c>
      <c r="C341" s="50" t="s">
        <v>51</v>
      </c>
      <c r="D341" s="50" t="s">
        <v>86</v>
      </c>
      <c r="E341" s="50">
        <v>165</v>
      </c>
      <c r="F341" s="50" t="s">
        <v>917</v>
      </c>
      <c r="G341" s="50" t="s">
        <v>917</v>
      </c>
      <c r="H341" s="50">
        <v>2.2999999999999998</v>
      </c>
      <c r="I341" s="50">
        <v>2.4</v>
      </c>
      <c r="J341" s="50">
        <v>0.1</v>
      </c>
      <c r="K341" s="50" t="s">
        <v>1841</v>
      </c>
      <c r="L341" s="50" t="s">
        <v>193</v>
      </c>
      <c r="M341" s="50" t="s">
        <v>1760</v>
      </c>
      <c r="N341" s="50">
        <v>26.7</v>
      </c>
      <c r="O341" s="104" t="s">
        <v>1761</v>
      </c>
      <c r="P341" s="50" t="s">
        <v>1762</v>
      </c>
      <c r="Q341" s="105">
        <v>26849</v>
      </c>
    </row>
    <row r="342" spans="1:17" ht="15" customHeight="1" x14ac:dyDescent="0.25">
      <c r="A342" s="49" t="s">
        <v>2221</v>
      </c>
      <c r="B342" s="50" t="s">
        <v>1825</v>
      </c>
      <c r="C342" s="50" t="s">
        <v>103</v>
      </c>
      <c r="D342" s="50" t="s">
        <v>72</v>
      </c>
      <c r="E342" s="50">
        <v>64</v>
      </c>
      <c r="F342" s="50" t="s">
        <v>1844</v>
      </c>
      <c r="G342" s="50"/>
      <c r="H342" s="50">
        <v>1</v>
      </c>
      <c r="I342" s="50"/>
      <c r="J342" s="50">
        <v>0</v>
      </c>
      <c r="K342" s="50" t="s">
        <v>1754</v>
      </c>
      <c r="L342" s="50" t="s">
        <v>126</v>
      </c>
      <c r="M342" s="50" t="s">
        <v>1755</v>
      </c>
      <c r="N342" s="50">
        <v>22.2</v>
      </c>
      <c r="O342" s="104" t="s">
        <v>700</v>
      </c>
      <c r="P342" s="50"/>
      <c r="Q342" s="105">
        <v>13903</v>
      </c>
    </row>
    <row r="343" spans="1:17" ht="15" customHeight="1" x14ac:dyDescent="0.25">
      <c r="A343" s="49" t="s">
        <v>2222</v>
      </c>
      <c r="B343" s="50" t="s">
        <v>1758</v>
      </c>
      <c r="C343" s="50" t="s">
        <v>86</v>
      </c>
      <c r="D343" s="50" t="s">
        <v>51</v>
      </c>
      <c r="E343" s="50">
        <v>165</v>
      </c>
      <c r="F343" s="50" t="s">
        <v>1118</v>
      </c>
      <c r="G343" s="50"/>
      <c r="H343" s="50">
        <v>2.2000000000000002</v>
      </c>
      <c r="I343" s="50"/>
      <c r="J343" s="50">
        <v>0</v>
      </c>
      <c r="K343" s="50" t="s">
        <v>1807</v>
      </c>
      <c r="L343" s="50" t="s">
        <v>66</v>
      </c>
      <c r="M343" s="50" t="s">
        <v>731</v>
      </c>
      <c r="N343" s="50">
        <v>19.2</v>
      </c>
      <c r="O343" s="104" t="s">
        <v>700</v>
      </c>
      <c r="P343" s="50"/>
      <c r="Q343" s="105">
        <v>24901</v>
      </c>
    </row>
    <row r="344" spans="1:17" ht="15" customHeight="1" x14ac:dyDescent="0.25">
      <c r="A344" s="49" t="s">
        <v>2223</v>
      </c>
      <c r="B344" s="50" t="s">
        <v>1786</v>
      </c>
      <c r="C344" s="50" t="s">
        <v>131</v>
      </c>
      <c r="D344" s="50" t="s">
        <v>119</v>
      </c>
      <c r="E344" s="50">
        <v>360</v>
      </c>
      <c r="F344" s="50" t="s">
        <v>2026</v>
      </c>
      <c r="G344" s="50"/>
      <c r="H344" s="50">
        <v>5.6</v>
      </c>
      <c r="I344" s="50"/>
      <c r="J344" s="50">
        <v>0</v>
      </c>
      <c r="K344" s="50" t="s">
        <v>1817</v>
      </c>
      <c r="L344" s="50" t="s">
        <v>178</v>
      </c>
      <c r="M344" s="50" t="s">
        <v>731</v>
      </c>
      <c r="N344" s="50">
        <v>19</v>
      </c>
      <c r="O344" s="50" t="s">
        <v>1756</v>
      </c>
      <c r="P344" s="50"/>
      <c r="Q344" s="105">
        <v>70213</v>
      </c>
    </row>
    <row r="345" spans="1:17" ht="15" customHeight="1" x14ac:dyDescent="0.25">
      <c r="A345" s="49" t="s">
        <v>2224</v>
      </c>
      <c r="B345" s="50" t="s">
        <v>1825</v>
      </c>
      <c r="C345" s="50" t="s">
        <v>103</v>
      </c>
      <c r="D345" s="50" t="s">
        <v>72</v>
      </c>
      <c r="E345" s="50">
        <v>64</v>
      </c>
      <c r="F345" s="50" t="s">
        <v>1167</v>
      </c>
      <c r="G345" s="50"/>
      <c r="H345" s="50">
        <v>1.1000000000000001</v>
      </c>
      <c r="I345" s="50"/>
      <c r="J345" s="50">
        <v>0</v>
      </c>
      <c r="K345" s="50" t="s">
        <v>1803</v>
      </c>
      <c r="L345" s="50" t="s">
        <v>118</v>
      </c>
      <c r="M345" s="50" t="s">
        <v>1784</v>
      </c>
      <c r="N345" s="50">
        <v>8.6999999999999993</v>
      </c>
      <c r="O345" s="50" t="s">
        <v>1756</v>
      </c>
      <c r="P345" s="50"/>
      <c r="Q345" s="105">
        <v>15367</v>
      </c>
    </row>
    <row r="346" spans="1:17" ht="15" customHeight="1" x14ac:dyDescent="0.25">
      <c r="A346" s="49" t="s">
        <v>2225</v>
      </c>
      <c r="B346" s="50" t="s">
        <v>1764</v>
      </c>
      <c r="C346" s="50" t="s">
        <v>51</v>
      </c>
      <c r="D346" s="50" t="s">
        <v>62</v>
      </c>
      <c r="E346" s="50">
        <v>160</v>
      </c>
      <c r="F346" s="50" t="s">
        <v>892</v>
      </c>
      <c r="G346" s="50" t="s">
        <v>1036</v>
      </c>
      <c r="H346" s="50">
        <v>2.2000000000000002</v>
      </c>
      <c r="I346" s="50">
        <v>3.1</v>
      </c>
      <c r="J346" s="50">
        <v>0.9</v>
      </c>
      <c r="K346" s="50" t="s">
        <v>1803</v>
      </c>
      <c r="L346" s="50" t="s">
        <v>287</v>
      </c>
      <c r="M346" s="50" t="s">
        <v>1755</v>
      </c>
      <c r="N346" s="50">
        <v>14</v>
      </c>
      <c r="O346" s="104" t="s">
        <v>1761</v>
      </c>
      <c r="P346" s="50" t="s">
        <v>1762</v>
      </c>
      <c r="Q346" s="105">
        <v>20513</v>
      </c>
    </row>
    <row r="347" spans="1:17" ht="15" customHeight="1" x14ac:dyDescent="0.25">
      <c r="A347" s="49" t="s">
        <v>2226</v>
      </c>
      <c r="B347" s="50" t="s">
        <v>1764</v>
      </c>
      <c r="C347" s="50" t="s">
        <v>51</v>
      </c>
      <c r="D347" s="50" t="s">
        <v>62</v>
      </c>
      <c r="E347" s="50">
        <v>160</v>
      </c>
      <c r="F347" s="50" t="s">
        <v>2227</v>
      </c>
      <c r="G347" s="50"/>
      <c r="H347" s="50">
        <v>2</v>
      </c>
      <c r="I347" s="50"/>
      <c r="J347" s="50">
        <v>0</v>
      </c>
      <c r="K347" s="50" t="s">
        <v>1807</v>
      </c>
      <c r="L347" s="50" t="s">
        <v>111</v>
      </c>
      <c r="M347" s="50" t="s">
        <v>731</v>
      </c>
      <c r="N347" s="50">
        <v>29.3</v>
      </c>
      <c r="O347" s="50" t="s">
        <v>1756</v>
      </c>
      <c r="P347" s="50"/>
      <c r="Q347" s="105">
        <v>21702</v>
      </c>
    </row>
    <row r="348" spans="1:17" ht="15" customHeight="1" x14ac:dyDescent="0.25">
      <c r="A348" s="49" t="s">
        <v>2228</v>
      </c>
      <c r="B348" s="50" t="s">
        <v>1819</v>
      </c>
      <c r="C348" s="50" t="s">
        <v>103</v>
      </c>
      <c r="D348" s="50" t="s">
        <v>51</v>
      </c>
      <c r="E348" s="50">
        <v>350</v>
      </c>
      <c r="F348" s="50" t="s">
        <v>1011</v>
      </c>
      <c r="G348" s="50" t="s">
        <v>1446</v>
      </c>
      <c r="H348" s="50">
        <v>5.8</v>
      </c>
      <c r="I348" s="50">
        <v>8.1999999999999993</v>
      </c>
      <c r="J348" s="50">
        <v>2.4</v>
      </c>
      <c r="K348" s="50" t="s">
        <v>1803</v>
      </c>
      <c r="L348" s="50" t="s">
        <v>201</v>
      </c>
      <c r="M348" s="50" t="s">
        <v>1755</v>
      </c>
      <c r="N348" s="50">
        <v>29.5</v>
      </c>
      <c r="O348" s="104" t="s">
        <v>1761</v>
      </c>
      <c r="P348" s="50" t="s">
        <v>1798</v>
      </c>
      <c r="Q348" s="105">
        <v>60089</v>
      </c>
    </row>
    <row r="349" spans="1:17" ht="15" customHeight="1" x14ac:dyDescent="0.25">
      <c r="A349" s="49" t="s">
        <v>2229</v>
      </c>
      <c r="B349" s="50" t="s">
        <v>1805</v>
      </c>
      <c r="C349" s="50" t="s">
        <v>51</v>
      </c>
      <c r="D349" s="50" t="s">
        <v>131</v>
      </c>
      <c r="E349" s="50">
        <v>44</v>
      </c>
      <c r="F349" s="50" t="s">
        <v>1475</v>
      </c>
      <c r="G349" s="50" t="s">
        <v>1475</v>
      </c>
      <c r="H349" s="50">
        <v>0.6</v>
      </c>
      <c r="I349" s="50">
        <v>0.8</v>
      </c>
      <c r="J349" s="50">
        <v>0.2</v>
      </c>
      <c r="K349" s="50" t="s">
        <v>1774</v>
      </c>
      <c r="L349" s="50" t="s">
        <v>70</v>
      </c>
      <c r="M349" s="50" t="s">
        <v>731</v>
      </c>
      <c r="N349" s="50">
        <v>22.1</v>
      </c>
      <c r="O349" s="104" t="s">
        <v>1761</v>
      </c>
      <c r="P349" s="50" t="s">
        <v>1775</v>
      </c>
      <c r="Q349" s="105">
        <v>10199</v>
      </c>
    </row>
    <row r="350" spans="1:17" ht="15" customHeight="1" x14ac:dyDescent="0.25">
      <c r="A350" s="49" t="s">
        <v>2230</v>
      </c>
      <c r="B350" s="50" t="s">
        <v>1855</v>
      </c>
      <c r="C350" s="50" t="s">
        <v>68</v>
      </c>
      <c r="D350" s="50" t="s">
        <v>93</v>
      </c>
      <c r="E350" s="50">
        <v>67</v>
      </c>
      <c r="F350" s="50" t="s">
        <v>1289</v>
      </c>
      <c r="G350" s="50" t="s">
        <v>748</v>
      </c>
      <c r="H350" s="50">
        <v>1</v>
      </c>
      <c r="I350" s="50">
        <v>1</v>
      </c>
      <c r="J350" s="50">
        <v>0</v>
      </c>
      <c r="K350" s="50" t="s">
        <v>1841</v>
      </c>
      <c r="L350" s="50" t="s">
        <v>225</v>
      </c>
      <c r="M350" s="50" t="s">
        <v>731</v>
      </c>
      <c r="N350" s="50">
        <v>11.5</v>
      </c>
      <c r="O350" s="104" t="s">
        <v>1761</v>
      </c>
      <c r="P350" s="50" t="s">
        <v>1780</v>
      </c>
      <c r="Q350" s="105">
        <v>15521</v>
      </c>
    </row>
    <row r="351" spans="1:17" ht="15" customHeight="1" x14ac:dyDescent="0.25">
      <c r="A351" s="49" t="s">
        <v>2231</v>
      </c>
      <c r="B351" s="50" t="s">
        <v>1822</v>
      </c>
      <c r="C351" s="50" t="s">
        <v>96</v>
      </c>
      <c r="D351" s="50" t="s">
        <v>83</v>
      </c>
      <c r="E351" s="50">
        <v>120</v>
      </c>
      <c r="F351" s="50" t="s">
        <v>2049</v>
      </c>
      <c r="G351" s="50"/>
      <c r="H351" s="50">
        <v>1.9</v>
      </c>
      <c r="I351" s="50"/>
      <c r="J351" s="50">
        <v>0</v>
      </c>
      <c r="K351" s="50" t="s">
        <v>1759</v>
      </c>
      <c r="L351" s="50" t="s">
        <v>161</v>
      </c>
      <c r="M351" s="50" t="s">
        <v>1765</v>
      </c>
      <c r="N351" s="50">
        <v>28.8</v>
      </c>
      <c r="O351" s="104" t="s">
        <v>700</v>
      </c>
      <c r="P351" s="50"/>
      <c r="Q351" s="105">
        <v>19025</v>
      </c>
    </row>
    <row r="352" spans="1:17" ht="15" customHeight="1" x14ac:dyDescent="0.25">
      <c r="A352" s="49" t="s">
        <v>2232</v>
      </c>
      <c r="B352" s="50" t="s">
        <v>1805</v>
      </c>
      <c r="C352" s="50" t="s">
        <v>51</v>
      </c>
      <c r="D352" s="50" t="s">
        <v>131</v>
      </c>
      <c r="E352" s="50">
        <v>44</v>
      </c>
      <c r="F352" s="50" t="s">
        <v>1226</v>
      </c>
      <c r="G352" s="50" t="s">
        <v>1226</v>
      </c>
      <c r="H352" s="50">
        <v>0.7</v>
      </c>
      <c r="I352" s="50">
        <v>0.9</v>
      </c>
      <c r="J352" s="50">
        <v>0.2</v>
      </c>
      <c r="K352" s="50" t="s">
        <v>1841</v>
      </c>
      <c r="L352" s="50" t="s">
        <v>166</v>
      </c>
      <c r="M352" s="50" t="s">
        <v>1765</v>
      </c>
      <c r="N352" s="50">
        <v>2.7</v>
      </c>
      <c r="O352" s="104" t="s">
        <v>1761</v>
      </c>
      <c r="P352" s="50" t="s">
        <v>1775</v>
      </c>
      <c r="Q352" s="105">
        <v>8678</v>
      </c>
    </row>
    <row r="353" spans="1:17" ht="15" customHeight="1" x14ac:dyDescent="0.25">
      <c r="A353" s="49" t="s">
        <v>2233</v>
      </c>
      <c r="B353" s="50" t="s">
        <v>1768</v>
      </c>
      <c r="C353" s="50" t="s">
        <v>51</v>
      </c>
      <c r="D353" s="50" t="s">
        <v>103</v>
      </c>
      <c r="E353" s="50">
        <v>350</v>
      </c>
      <c r="F353" s="50" t="s">
        <v>1163</v>
      </c>
      <c r="G353" s="50"/>
      <c r="H353" s="50">
        <v>6.4</v>
      </c>
      <c r="I353" s="50"/>
      <c r="J353" s="50">
        <v>0</v>
      </c>
      <c r="K353" s="50" t="s">
        <v>1817</v>
      </c>
      <c r="L353" s="50" t="s">
        <v>130</v>
      </c>
      <c r="M353" s="50" t="s">
        <v>1770</v>
      </c>
      <c r="N353" s="50">
        <v>29.2</v>
      </c>
      <c r="O353" s="104" t="s">
        <v>1766</v>
      </c>
      <c r="P353" s="50"/>
      <c r="Q353" s="105">
        <v>86515</v>
      </c>
    </row>
    <row r="354" spans="1:17" ht="15" customHeight="1" x14ac:dyDescent="0.25">
      <c r="A354" s="49" t="s">
        <v>2234</v>
      </c>
      <c r="B354" s="50" t="s">
        <v>1786</v>
      </c>
      <c r="C354" s="50" t="s">
        <v>131</v>
      </c>
      <c r="D354" s="50" t="s">
        <v>119</v>
      </c>
      <c r="E354" s="50">
        <v>360</v>
      </c>
      <c r="F354" s="50" t="s">
        <v>2143</v>
      </c>
      <c r="G354" s="50" t="s">
        <v>2143</v>
      </c>
      <c r="H354" s="50">
        <v>5.8</v>
      </c>
      <c r="I354" s="50">
        <v>8.5</v>
      </c>
      <c r="J354" s="50">
        <v>2.7</v>
      </c>
      <c r="K354" s="50" t="s">
        <v>1759</v>
      </c>
      <c r="L354" s="50" t="s">
        <v>153</v>
      </c>
      <c r="M354" s="50" t="s">
        <v>1770</v>
      </c>
      <c r="N354" s="50">
        <v>10.8</v>
      </c>
      <c r="O354" s="104" t="s">
        <v>1761</v>
      </c>
      <c r="P354" s="50" t="s">
        <v>1820</v>
      </c>
      <c r="Q354" s="105">
        <v>48978</v>
      </c>
    </row>
    <row r="355" spans="1:17" ht="15" customHeight="1" x14ac:dyDescent="0.25">
      <c r="A355" s="49" t="s">
        <v>2235</v>
      </c>
      <c r="B355" s="50" t="s">
        <v>1819</v>
      </c>
      <c r="C355" s="50" t="s">
        <v>103</v>
      </c>
      <c r="D355" s="50" t="s">
        <v>51</v>
      </c>
      <c r="E355" s="50">
        <v>350</v>
      </c>
      <c r="F355" s="50" t="s">
        <v>1236</v>
      </c>
      <c r="G355" s="50" t="s">
        <v>1236</v>
      </c>
      <c r="H355" s="50">
        <v>6.4</v>
      </c>
      <c r="I355" s="50">
        <v>7</v>
      </c>
      <c r="J355" s="50">
        <v>0.6</v>
      </c>
      <c r="K355" s="50" t="s">
        <v>1769</v>
      </c>
      <c r="L355" s="50" t="s">
        <v>284</v>
      </c>
      <c r="M355" s="50" t="s">
        <v>1760</v>
      </c>
      <c r="N355" s="50">
        <v>0.8</v>
      </c>
      <c r="O355" s="104" t="s">
        <v>1761</v>
      </c>
      <c r="P355" s="50" t="s">
        <v>1775</v>
      </c>
      <c r="Q355" s="105">
        <v>63435</v>
      </c>
    </row>
    <row r="356" spans="1:17" ht="15" customHeight="1" x14ac:dyDescent="0.25">
      <c r="A356" s="49" t="s">
        <v>2236</v>
      </c>
      <c r="B356" s="50" t="s">
        <v>1753</v>
      </c>
      <c r="C356" s="50" t="s">
        <v>96</v>
      </c>
      <c r="D356" s="50" t="s">
        <v>51</v>
      </c>
      <c r="E356" s="50">
        <v>486</v>
      </c>
      <c r="F356" s="50" t="s">
        <v>2237</v>
      </c>
      <c r="G356" s="50"/>
      <c r="H356" s="50">
        <v>9</v>
      </c>
      <c r="I356" s="50"/>
      <c r="J356" s="50">
        <v>0</v>
      </c>
      <c r="K356" s="50" t="s">
        <v>1841</v>
      </c>
      <c r="L356" s="50" t="s">
        <v>246</v>
      </c>
      <c r="M356" s="50" t="s">
        <v>1790</v>
      </c>
      <c r="N356" s="50">
        <v>5</v>
      </c>
      <c r="O356" s="104" t="s">
        <v>700</v>
      </c>
      <c r="P356" s="50"/>
      <c r="Q356" s="105">
        <v>105974</v>
      </c>
    </row>
    <row r="357" spans="1:17" ht="15" customHeight="1" x14ac:dyDescent="0.25">
      <c r="A357" s="49" t="s">
        <v>2238</v>
      </c>
      <c r="B357" s="50" t="s">
        <v>1819</v>
      </c>
      <c r="C357" s="50" t="s">
        <v>103</v>
      </c>
      <c r="D357" s="50" t="s">
        <v>51</v>
      </c>
      <c r="E357" s="50">
        <v>350</v>
      </c>
      <c r="F357" s="50" t="s">
        <v>2239</v>
      </c>
      <c r="G357" s="50" t="s">
        <v>1121</v>
      </c>
      <c r="H357" s="50">
        <v>5.7</v>
      </c>
      <c r="I357" s="50">
        <v>5.7</v>
      </c>
      <c r="J357" s="50">
        <v>0</v>
      </c>
      <c r="K357" s="50" t="s">
        <v>1794</v>
      </c>
      <c r="L357" s="50" t="s">
        <v>155</v>
      </c>
      <c r="M357" s="50" t="s">
        <v>1765</v>
      </c>
      <c r="N357" s="50">
        <v>19</v>
      </c>
      <c r="O357" s="104" t="s">
        <v>1761</v>
      </c>
      <c r="P357" s="50" t="s">
        <v>1780</v>
      </c>
      <c r="Q357" s="105">
        <v>73460</v>
      </c>
    </row>
    <row r="358" spans="1:17" ht="15" customHeight="1" x14ac:dyDescent="0.25">
      <c r="A358" s="49" t="s">
        <v>2240</v>
      </c>
      <c r="B358" s="50" t="s">
        <v>1758</v>
      </c>
      <c r="C358" s="50" t="s">
        <v>86</v>
      </c>
      <c r="D358" s="50" t="s">
        <v>51</v>
      </c>
      <c r="E358" s="50">
        <v>165</v>
      </c>
      <c r="F358" s="50" t="s">
        <v>1197</v>
      </c>
      <c r="G358" s="50"/>
      <c r="H358" s="50">
        <v>2.5</v>
      </c>
      <c r="I358" s="50"/>
      <c r="J358" s="50">
        <v>0</v>
      </c>
      <c r="K358" s="50" t="s">
        <v>1823</v>
      </c>
      <c r="L358" s="50" t="s">
        <v>277</v>
      </c>
      <c r="M358" s="50" t="s">
        <v>1755</v>
      </c>
      <c r="N358" s="50">
        <v>28.8</v>
      </c>
      <c r="O358" s="104" t="s">
        <v>700</v>
      </c>
      <c r="P358" s="50"/>
      <c r="Q358" s="105">
        <v>24976</v>
      </c>
    </row>
    <row r="359" spans="1:17" ht="15" customHeight="1" x14ac:dyDescent="0.25">
      <c r="A359" s="49" t="s">
        <v>2241</v>
      </c>
      <c r="B359" s="50" t="s">
        <v>1777</v>
      </c>
      <c r="C359" s="50" t="s">
        <v>68</v>
      </c>
      <c r="D359" s="50" t="s">
        <v>86</v>
      </c>
      <c r="E359" s="50">
        <v>135</v>
      </c>
      <c r="F359" s="50" t="s">
        <v>794</v>
      </c>
      <c r="G359" s="50"/>
      <c r="H359" s="50">
        <v>2.2000000000000002</v>
      </c>
      <c r="I359" s="50"/>
      <c r="J359" s="50">
        <v>0</v>
      </c>
      <c r="K359" s="50" t="s">
        <v>1754</v>
      </c>
      <c r="L359" s="50" t="s">
        <v>114</v>
      </c>
      <c r="M359" s="50" t="s">
        <v>1770</v>
      </c>
      <c r="N359" s="50">
        <v>23.2</v>
      </c>
      <c r="O359" s="104" t="s">
        <v>700</v>
      </c>
      <c r="P359" s="50"/>
      <c r="Q359" s="105">
        <v>29054</v>
      </c>
    </row>
    <row r="360" spans="1:17" ht="15" customHeight="1" x14ac:dyDescent="0.25">
      <c r="A360" s="49" t="s">
        <v>2242</v>
      </c>
      <c r="B360" s="50" t="s">
        <v>1805</v>
      </c>
      <c r="C360" s="50" t="s">
        <v>51</v>
      </c>
      <c r="D360" s="50" t="s">
        <v>131</v>
      </c>
      <c r="E360" s="50">
        <v>44</v>
      </c>
      <c r="F360" s="50" t="s">
        <v>1454</v>
      </c>
      <c r="G360" s="50" t="s">
        <v>1454</v>
      </c>
      <c r="H360" s="50">
        <v>0.7</v>
      </c>
      <c r="I360" s="50">
        <v>1</v>
      </c>
      <c r="J360" s="50">
        <v>0.3</v>
      </c>
      <c r="K360" s="50" t="s">
        <v>1754</v>
      </c>
      <c r="L360" s="50" t="s">
        <v>154</v>
      </c>
      <c r="M360" s="50" t="s">
        <v>1760</v>
      </c>
      <c r="N360" s="50">
        <v>3</v>
      </c>
      <c r="O360" s="104" t="s">
        <v>1761</v>
      </c>
      <c r="P360" s="50" t="s">
        <v>1775</v>
      </c>
      <c r="Q360" s="105">
        <v>8111</v>
      </c>
    </row>
    <row r="361" spans="1:17" ht="15" customHeight="1" x14ac:dyDescent="0.25">
      <c r="A361" s="49" t="s">
        <v>2243</v>
      </c>
      <c r="B361" s="50" t="s">
        <v>1772</v>
      </c>
      <c r="C361" s="50" t="s">
        <v>51</v>
      </c>
      <c r="D361" s="50" t="s">
        <v>91</v>
      </c>
      <c r="E361" s="50">
        <v>64</v>
      </c>
      <c r="F361" s="50" t="s">
        <v>988</v>
      </c>
      <c r="G361" s="50"/>
      <c r="H361" s="50">
        <v>1.2</v>
      </c>
      <c r="I361" s="50"/>
      <c r="J361" s="50">
        <v>0</v>
      </c>
      <c r="K361" s="50" t="s">
        <v>1774</v>
      </c>
      <c r="L361" s="50" t="s">
        <v>271</v>
      </c>
      <c r="M361" s="50" t="s">
        <v>1790</v>
      </c>
      <c r="N361" s="50">
        <v>17</v>
      </c>
      <c r="O361" s="104" t="s">
        <v>700</v>
      </c>
      <c r="P361" s="50"/>
      <c r="Q361" s="105">
        <v>10807</v>
      </c>
    </row>
    <row r="362" spans="1:17" ht="15" customHeight="1" x14ac:dyDescent="0.25">
      <c r="A362" s="49" t="s">
        <v>2244</v>
      </c>
      <c r="B362" s="50" t="s">
        <v>1855</v>
      </c>
      <c r="C362" s="50" t="s">
        <v>68</v>
      </c>
      <c r="D362" s="50" t="s">
        <v>93</v>
      </c>
      <c r="E362" s="50">
        <v>67</v>
      </c>
      <c r="F362" s="50" t="s">
        <v>1284</v>
      </c>
      <c r="G362" s="50" t="s">
        <v>890</v>
      </c>
      <c r="H362" s="50">
        <v>1.3</v>
      </c>
      <c r="I362" s="50">
        <v>1.8</v>
      </c>
      <c r="J362" s="50">
        <v>0.5</v>
      </c>
      <c r="K362" s="50" t="s">
        <v>1817</v>
      </c>
      <c r="L362" s="50" t="s">
        <v>254</v>
      </c>
      <c r="M362" s="50" t="s">
        <v>1765</v>
      </c>
      <c r="N362" s="50">
        <v>17.5</v>
      </c>
      <c r="O362" s="104" t="s">
        <v>1761</v>
      </c>
      <c r="P362" s="50" t="s">
        <v>1775</v>
      </c>
      <c r="Q362" s="105">
        <v>13898</v>
      </c>
    </row>
    <row r="363" spans="1:17" ht="15" customHeight="1" x14ac:dyDescent="0.25">
      <c r="A363" s="49" t="s">
        <v>2245</v>
      </c>
      <c r="B363" s="50" t="s">
        <v>1805</v>
      </c>
      <c r="C363" s="50" t="s">
        <v>51</v>
      </c>
      <c r="D363" s="50" t="s">
        <v>131</v>
      </c>
      <c r="E363" s="50">
        <v>44</v>
      </c>
      <c r="F363" s="50" t="s">
        <v>2246</v>
      </c>
      <c r="G363" s="50" t="s">
        <v>2246</v>
      </c>
      <c r="H363" s="50">
        <v>0.6</v>
      </c>
      <c r="I363" s="50">
        <v>0.9</v>
      </c>
      <c r="J363" s="50">
        <v>0.3</v>
      </c>
      <c r="K363" s="50" t="s">
        <v>1797</v>
      </c>
      <c r="L363" s="50" t="s">
        <v>255</v>
      </c>
      <c r="M363" s="50" t="s">
        <v>1770</v>
      </c>
      <c r="N363" s="50">
        <v>13.5</v>
      </c>
      <c r="O363" s="104" t="s">
        <v>1761</v>
      </c>
      <c r="P363" s="50" t="s">
        <v>1820</v>
      </c>
      <c r="Q363" s="105">
        <v>9931</v>
      </c>
    </row>
    <row r="364" spans="1:17" ht="15" customHeight="1" x14ac:dyDescent="0.25">
      <c r="A364" s="49" t="s">
        <v>2247</v>
      </c>
      <c r="B364" s="50" t="s">
        <v>1753</v>
      </c>
      <c r="C364" s="50" t="s">
        <v>96</v>
      </c>
      <c r="D364" s="50" t="s">
        <v>51</v>
      </c>
      <c r="E364" s="50">
        <v>486</v>
      </c>
      <c r="F364" s="50" t="s">
        <v>2227</v>
      </c>
      <c r="G364" s="50" t="s">
        <v>2227</v>
      </c>
      <c r="H364" s="50">
        <v>8.6</v>
      </c>
      <c r="I364" s="50">
        <v>12.5</v>
      </c>
      <c r="J364" s="50">
        <v>3.9</v>
      </c>
      <c r="K364" s="50" t="s">
        <v>1807</v>
      </c>
      <c r="L364" s="50" t="s">
        <v>78</v>
      </c>
      <c r="M364" s="50" t="s">
        <v>1784</v>
      </c>
      <c r="N364" s="50">
        <v>28.4</v>
      </c>
      <c r="O364" s="104" t="s">
        <v>1761</v>
      </c>
      <c r="P364" s="50" t="s">
        <v>1820</v>
      </c>
      <c r="Q364" s="105">
        <v>111987</v>
      </c>
    </row>
    <row r="365" spans="1:17" ht="15" customHeight="1" x14ac:dyDescent="0.25">
      <c r="A365" s="49" t="s">
        <v>2248</v>
      </c>
      <c r="B365" s="50" t="s">
        <v>1812</v>
      </c>
      <c r="C365" s="50" t="s">
        <v>86</v>
      </c>
      <c r="D365" s="50" t="s">
        <v>68</v>
      </c>
      <c r="E365" s="50">
        <v>135</v>
      </c>
      <c r="F365" s="50" t="s">
        <v>1661</v>
      </c>
      <c r="G365" s="50" t="s">
        <v>852</v>
      </c>
      <c r="H365" s="50">
        <v>2.2000000000000002</v>
      </c>
      <c r="I365" s="50">
        <v>2.9</v>
      </c>
      <c r="J365" s="50">
        <v>0.7</v>
      </c>
      <c r="K365" s="50" t="s">
        <v>1759</v>
      </c>
      <c r="L365" s="50" t="s">
        <v>160</v>
      </c>
      <c r="M365" s="50" t="s">
        <v>1790</v>
      </c>
      <c r="N365" s="50">
        <v>23.6</v>
      </c>
      <c r="O365" s="104" t="s">
        <v>1761</v>
      </c>
      <c r="P365" s="50" t="s">
        <v>1762</v>
      </c>
      <c r="Q365" s="105">
        <v>29689</v>
      </c>
    </row>
    <row r="366" spans="1:17" ht="15" customHeight="1" x14ac:dyDescent="0.25">
      <c r="A366" s="49" t="s">
        <v>2249</v>
      </c>
      <c r="B366" s="50" t="s">
        <v>1792</v>
      </c>
      <c r="C366" s="50" t="s">
        <v>51</v>
      </c>
      <c r="D366" s="50" t="s">
        <v>86</v>
      </c>
      <c r="E366" s="50">
        <v>165</v>
      </c>
      <c r="F366" s="50" t="s">
        <v>1014</v>
      </c>
      <c r="G366" s="50" t="s">
        <v>1329</v>
      </c>
      <c r="H366" s="50">
        <v>2.2000000000000002</v>
      </c>
      <c r="I366" s="50">
        <v>3.1</v>
      </c>
      <c r="J366" s="50">
        <v>0.9</v>
      </c>
      <c r="K366" s="50" t="s">
        <v>1754</v>
      </c>
      <c r="L366" s="50" t="s">
        <v>172</v>
      </c>
      <c r="M366" s="50" t="s">
        <v>1784</v>
      </c>
      <c r="N366" s="50">
        <v>12.3</v>
      </c>
      <c r="O366" s="104" t="s">
        <v>1761</v>
      </c>
      <c r="P366" s="50" t="s">
        <v>1808</v>
      </c>
      <c r="Q366" s="105">
        <v>26959</v>
      </c>
    </row>
    <row r="367" spans="1:17" ht="15" customHeight="1" x14ac:dyDescent="0.25">
      <c r="A367" s="49" t="s">
        <v>2250</v>
      </c>
      <c r="B367" s="50" t="s">
        <v>1772</v>
      </c>
      <c r="C367" s="50" t="s">
        <v>51</v>
      </c>
      <c r="D367" s="50" t="s">
        <v>91</v>
      </c>
      <c r="E367" s="50">
        <v>64</v>
      </c>
      <c r="F367" s="50" t="s">
        <v>1796</v>
      </c>
      <c r="G367" s="50" t="s">
        <v>1796</v>
      </c>
      <c r="H367" s="50">
        <v>1.1000000000000001</v>
      </c>
      <c r="I367" s="50">
        <v>1.3</v>
      </c>
      <c r="J367" s="50">
        <v>0.2</v>
      </c>
      <c r="K367" s="50" t="s">
        <v>1794</v>
      </c>
      <c r="L367" s="50" t="s">
        <v>274</v>
      </c>
      <c r="M367" s="50" t="s">
        <v>1765</v>
      </c>
      <c r="N367" s="50">
        <v>19.399999999999999</v>
      </c>
      <c r="O367" s="104" t="s">
        <v>1761</v>
      </c>
      <c r="P367" s="50" t="s">
        <v>1820</v>
      </c>
      <c r="Q367" s="105">
        <v>9362</v>
      </c>
    </row>
    <row r="368" spans="1:17" ht="15" customHeight="1" x14ac:dyDescent="0.25">
      <c r="A368" s="49" t="s">
        <v>2251</v>
      </c>
      <c r="B368" s="50" t="s">
        <v>1777</v>
      </c>
      <c r="C368" s="50" t="s">
        <v>68</v>
      </c>
      <c r="D368" s="50" t="s">
        <v>86</v>
      </c>
      <c r="E368" s="50">
        <v>135</v>
      </c>
      <c r="F368" s="50" t="s">
        <v>1281</v>
      </c>
      <c r="G368" s="50" t="s">
        <v>1281</v>
      </c>
      <c r="H368" s="50">
        <v>1.8</v>
      </c>
      <c r="I368" s="50">
        <v>1.6</v>
      </c>
      <c r="J368" s="50">
        <v>0</v>
      </c>
      <c r="K368" s="50" t="s">
        <v>1794</v>
      </c>
      <c r="L368" s="50" t="s">
        <v>182</v>
      </c>
      <c r="M368" s="50" t="s">
        <v>1770</v>
      </c>
      <c r="N368" s="50">
        <v>5.2</v>
      </c>
      <c r="O368" s="104" t="s">
        <v>1761</v>
      </c>
      <c r="P368" s="50" t="s">
        <v>1780</v>
      </c>
      <c r="Q368" s="105">
        <v>26411</v>
      </c>
    </row>
    <row r="369" spans="1:17" ht="15" customHeight="1" x14ac:dyDescent="0.25">
      <c r="A369" s="49" t="s">
        <v>2252</v>
      </c>
      <c r="B369" s="50" t="s">
        <v>1805</v>
      </c>
      <c r="C369" s="50" t="s">
        <v>51</v>
      </c>
      <c r="D369" s="50" t="s">
        <v>131</v>
      </c>
      <c r="E369" s="50">
        <v>44</v>
      </c>
      <c r="F369" s="50" t="s">
        <v>1566</v>
      </c>
      <c r="G369" s="50" t="s">
        <v>1865</v>
      </c>
      <c r="H369" s="50">
        <v>0.8</v>
      </c>
      <c r="I369" s="50">
        <v>1</v>
      </c>
      <c r="J369" s="50">
        <v>0.2</v>
      </c>
      <c r="K369" s="50" t="s">
        <v>1783</v>
      </c>
      <c r="L369" s="50" t="s">
        <v>268</v>
      </c>
      <c r="M369" s="50" t="s">
        <v>1765</v>
      </c>
      <c r="N369" s="50">
        <v>6.4</v>
      </c>
      <c r="O369" s="104" t="s">
        <v>1761</v>
      </c>
      <c r="P369" s="50" t="s">
        <v>1820</v>
      </c>
      <c r="Q369" s="105">
        <v>10155</v>
      </c>
    </row>
    <row r="370" spans="1:17" ht="15" customHeight="1" x14ac:dyDescent="0.25">
      <c r="A370" s="49" t="s">
        <v>2253</v>
      </c>
      <c r="B370" s="50" t="s">
        <v>1792</v>
      </c>
      <c r="C370" s="50" t="s">
        <v>51</v>
      </c>
      <c r="D370" s="50" t="s">
        <v>86</v>
      </c>
      <c r="E370" s="50">
        <v>165</v>
      </c>
      <c r="F370" s="50" t="s">
        <v>1174</v>
      </c>
      <c r="G370" s="50" t="s">
        <v>837</v>
      </c>
      <c r="H370" s="50">
        <v>2.7</v>
      </c>
      <c r="I370" s="50">
        <v>3.8</v>
      </c>
      <c r="J370" s="50">
        <v>1.1000000000000001</v>
      </c>
      <c r="K370" s="50" t="s">
        <v>1794</v>
      </c>
      <c r="L370" s="50" t="s">
        <v>188</v>
      </c>
      <c r="M370" s="50" t="s">
        <v>1765</v>
      </c>
      <c r="N370" s="50">
        <v>25.4</v>
      </c>
      <c r="O370" s="104" t="s">
        <v>1761</v>
      </c>
      <c r="P370" s="50" t="s">
        <v>1775</v>
      </c>
      <c r="Q370" s="105">
        <v>32029</v>
      </c>
    </row>
    <row r="371" spans="1:17" ht="15" customHeight="1" x14ac:dyDescent="0.25">
      <c r="A371" s="49" t="s">
        <v>2254</v>
      </c>
      <c r="B371" s="50" t="s">
        <v>1768</v>
      </c>
      <c r="C371" s="50" t="s">
        <v>51</v>
      </c>
      <c r="D371" s="50" t="s">
        <v>103</v>
      </c>
      <c r="E371" s="50">
        <v>350</v>
      </c>
      <c r="F371" s="50" t="s">
        <v>1693</v>
      </c>
      <c r="G371" s="50" t="s">
        <v>855</v>
      </c>
      <c r="H371" s="50">
        <v>4.7</v>
      </c>
      <c r="I371" s="50">
        <v>5.6</v>
      </c>
      <c r="J371" s="50">
        <v>0.9</v>
      </c>
      <c r="K371" s="50" t="s">
        <v>1759</v>
      </c>
      <c r="L371" s="50" t="s">
        <v>230</v>
      </c>
      <c r="M371" s="50" t="s">
        <v>731</v>
      </c>
      <c r="N371" s="50">
        <v>20.2</v>
      </c>
      <c r="O371" s="104" t="s">
        <v>1761</v>
      </c>
      <c r="P371" s="50" t="s">
        <v>1798</v>
      </c>
      <c r="Q371" s="105">
        <v>53164</v>
      </c>
    </row>
    <row r="372" spans="1:17" ht="15" customHeight="1" x14ac:dyDescent="0.25">
      <c r="A372" s="49" t="s">
        <v>2255</v>
      </c>
      <c r="B372" s="50" t="s">
        <v>1822</v>
      </c>
      <c r="C372" s="50" t="s">
        <v>96</v>
      </c>
      <c r="D372" s="50" t="s">
        <v>83</v>
      </c>
      <c r="E372" s="50">
        <v>120</v>
      </c>
      <c r="F372" s="50" t="s">
        <v>1459</v>
      </c>
      <c r="G372" s="50"/>
      <c r="H372" s="50">
        <v>2.1</v>
      </c>
      <c r="I372" s="50"/>
      <c r="J372" s="50">
        <v>0</v>
      </c>
      <c r="K372" s="50" t="s">
        <v>1779</v>
      </c>
      <c r="L372" s="50" t="s">
        <v>165</v>
      </c>
      <c r="M372" s="50" t="s">
        <v>731</v>
      </c>
      <c r="N372" s="50">
        <v>29</v>
      </c>
      <c r="O372" s="104" t="s">
        <v>700</v>
      </c>
      <c r="P372" s="50"/>
      <c r="Q372" s="105">
        <v>21939</v>
      </c>
    </row>
    <row r="373" spans="1:17" ht="15" customHeight="1" x14ac:dyDescent="0.25">
      <c r="A373" s="49" t="s">
        <v>2256</v>
      </c>
      <c r="B373" s="50" t="s">
        <v>1825</v>
      </c>
      <c r="C373" s="50" t="s">
        <v>103</v>
      </c>
      <c r="D373" s="50" t="s">
        <v>72</v>
      </c>
      <c r="E373" s="50">
        <v>64</v>
      </c>
      <c r="F373" s="50" t="s">
        <v>1566</v>
      </c>
      <c r="G373" s="50" t="s">
        <v>352</v>
      </c>
      <c r="H373" s="50">
        <v>0.8</v>
      </c>
      <c r="I373" s="50">
        <v>1</v>
      </c>
      <c r="J373" s="50">
        <v>0.2</v>
      </c>
      <c r="K373" s="50" t="s">
        <v>1759</v>
      </c>
      <c r="L373" s="50" t="s">
        <v>195</v>
      </c>
      <c r="M373" s="50" t="s">
        <v>731</v>
      </c>
      <c r="N373" s="50">
        <v>25.5</v>
      </c>
      <c r="O373" s="104" t="s">
        <v>1761</v>
      </c>
      <c r="P373" s="50" t="s">
        <v>1762</v>
      </c>
      <c r="Q373" s="105">
        <v>13560</v>
      </c>
    </row>
    <row r="374" spans="1:17" ht="15" customHeight="1" x14ac:dyDescent="0.25">
      <c r="A374" s="49" t="s">
        <v>2257</v>
      </c>
      <c r="B374" s="50" t="s">
        <v>1764</v>
      </c>
      <c r="C374" s="50" t="s">
        <v>51</v>
      </c>
      <c r="D374" s="50" t="s">
        <v>62</v>
      </c>
      <c r="E374" s="50">
        <v>160</v>
      </c>
      <c r="F374" s="50" t="s">
        <v>1215</v>
      </c>
      <c r="G374" s="50" t="s">
        <v>439</v>
      </c>
      <c r="H374" s="50">
        <v>2.6</v>
      </c>
      <c r="I374" s="50">
        <v>3.4</v>
      </c>
      <c r="J374" s="50">
        <v>0.8</v>
      </c>
      <c r="K374" s="50" t="s">
        <v>1794</v>
      </c>
      <c r="L374" s="50" t="s">
        <v>150</v>
      </c>
      <c r="M374" s="50" t="s">
        <v>1760</v>
      </c>
      <c r="N374" s="50">
        <v>16.399999999999999</v>
      </c>
      <c r="O374" s="104" t="s">
        <v>1761</v>
      </c>
      <c r="P374" s="50" t="s">
        <v>1798</v>
      </c>
      <c r="Q374" s="105">
        <v>35748</v>
      </c>
    </row>
    <row r="375" spans="1:17" ht="15" customHeight="1" x14ac:dyDescent="0.25">
      <c r="A375" s="49" t="s">
        <v>2258</v>
      </c>
      <c r="B375" s="50" t="s">
        <v>1772</v>
      </c>
      <c r="C375" s="50" t="s">
        <v>51</v>
      </c>
      <c r="D375" s="50" t="s">
        <v>91</v>
      </c>
      <c r="E375" s="50">
        <v>64</v>
      </c>
      <c r="F375" s="50" t="s">
        <v>1909</v>
      </c>
      <c r="G375" s="50"/>
      <c r="H375" s="50">
        <v>0.8</v>
      </c>
      <c r="I375" s="50"/>
      <c r="J375" s="50">
        <v>0</v>
      </c>
      <c r="K375" s="50" t="s">
        <v>1841</v>
      </c>
      <c r="L375" s="50" t="s">
        <v>211</v>
      </c>
      <c r="M375" s="50" t="s">
        <v>1755</v>
      </c>
      <c r="N375" s="50">
        <v>9.6999999999999993</v>
      </c>
      <c r="O375" s="50" t="s">
        <v>1756</v>
      </c>
      <c r="P375" s="50"/>
      <c r="Q375" s="105">
        <v>12706</v>
      </c>
    </row>
    <row r="376" spans="1:17" ht="15" customHeight="1" x14ac:dyDescent="0.25">
      <c r="A376" s="49" t="s">
        <v>2259</v>
      </c>
      <c r="B376" s="50" t="s">
        <v>1819</v>
      </c>
      <c r="C376" s="50" t="s">
        <v>103</v>
      </c>
      <c r="D376" s="50" t="s">
        <v>51</v>
      </c>
      <c r="E376" s="50">
        <v>350</v>
      </c>
      <c r="F376" s="50" t="s">
        <v>1232</v>
      </c>
      <c r="G376" s="50"/>
      <c r="H376" s="50">
        <v>5</v>
      </c>
      <c r="I376" s="50"/>
      <c r="J376" s="50">
        <v>0</v>
      </c>
      <c r="K376" s="50" t="s">
        <v>1834</v>
      </c>
      <c r="L376" s="50" t="s">
        <v>147</v>
      </c>
      <c r="M376" s="50" t="s">
        <v>1790</v>
      </c>
      <c r="N376" s="50">
        <v>8.4</v>
      </c>
      <c r="O376" s="104" t="s">
        <v>700</v>
      </c>
      <c r="P376" s="50"/>
      <c r="Q376" s="105">
        <v>62941</v>
      </c>
    </row>
    <row r="377" spans="1:17" ht="15" customHeight="1" x14ac:dyDescent="0.25">
      <c r="A377" s="49" t="s">
        <v>2260</v>
      </c>
      <c r="B377" s="50" t="s">
        <v>1825</v>
      </c>
      <c r="C377" s="50" t="s">
        <v>103</v>
      </c>
      <c r="D377" s="50" t="s">
        <v>72</v>
      </c>
      <c r="E377" s="50">
        <v>64</v>
      </c>
      <c r="F377" s="50" t="s">
        <v>2063</v>
      </c>
      <c r="G377" s="50" t="s">
        <v>2112</v>
      </c>
      <c r="H377" s="50">
        <v>1.2</v>
      </c>
      <c r="I377" s="50">
        <v>1.7</v>
      </c>
      <c r="J377" s="50">
        <v>0.5</v>
      </c>
      <c r="K377" s="50" t="s">
        <v>1807</v>
      </c>
      <c r="L377" s="50" t="s">
        <v>74</v>
      </c>
      <c r="M377" s="50" t="s">
        <v>1755</v>
      </c>
      <c r="N377" s="50">
        <v>13.7</v>
      </c>
      <c r="O377" s="104" t="s">
        <v>1761</v>
      </c>
      <c r="P377" s="50" t="s">
        <v>1798</v>
      </c>
      <c r="Q377" s="105">
        <v>8211</v>
      </c>
    </row>
    <row r="378" spans="1:17" ht="15" customHeight="1" x14ac:dyDescent="0.25">
      <c r="A378" s="49" t="s">
        <v>2261</v>
      </c>
      <c r="B378" s="50" t="s">
        <v>1764</v>
      </c>
      <c r="C378" s="50" t="s">
        <v>51</v>
      </c>
      <c r="D378" s="50" t="s">
        <v>62</v>
      </c>
      <c r="E378" s="50">
        <v>160</v>
      </c>
      <c r="F378" s="50" t="s">
        <v>315</v>
      </c>
      <c r="G378" s="50" t="s">
        <v>315</v>
      </c>
      <c r="H378" s="50">
        <v>2.4</v>
      </c>
      <c r="I378" s="50">
        <v>3.2</v>
      </c>
      <c r="J378" s="50">
        <v>0.8</v>
      </c>
      <c r="K378" s="50" t="s">
        <v>1794</v>
      </c>
      <c r="L378" s="50" t="s">
        <v>276</v>
      </c>
      <c r="M378" s="50" t="s">
        <v>1765</v>
      </c>
      <c r="N378" s="50">
        <v>21.6</v>
      </c>
      <c r="O378" s="104" t="s">
        <v>1761</v>
      </c>
      <c r="P378" s="50" t="s">
        <v>1820</v>
      </c>
      <c r="Q378" s="105">
        <v>23676</v>
      </c>
    </row>
    <row r="379" spans="1:17" ht="15" customHeight="1" x14ac:dyDescent="0.25">
      <c r="A379" s="49" t="s">
        <v>2262</v>
      </c>
      <c r="B379" s="50" t="s">
        <v>1825</v>
      </c>
      <c r="C379" s="50" t="s">
        <v>103</v>
      </c>
      <c r="D379" s="50" t="s">
        <v>72</v>
      </c>
      <c r="E379" s="50">
        <v>64</v>
      </c>
      <c r="F379" s="50" t="s">
        <v>1721</v>
      </c>
      <c r="G379" s="50" t="s">
        <v>1424</v>
      </c>
      <c r="H379" s="50">
        <v>0.9</v>
      </c>
      <c r="I379" s="50">
        <v>1</v>
      </c>
      <c r="J379" s="50">
        <v>0.1</v>
      </c>
      <c r="K379" s="50" t="s">
        <v>1797</v>
      </c>
      <c r="L379" s="50" t="s">
        <v>149</v>
      </c>
      <c r="M379" s="50" t="s">
        <v>1755</v>
      </c>
      <c r="N379" s="50">
        <v>24.1</v>
      </c>
      <c r="O379" s="104" t="s">
        <v>1761</v>
      </c>
      <c r="P379" s="50" t="s">
        <v>1775</v>
      </c>
      <c r="Q379" s="105">
        <v>10296</v>
      </c>
    </row>
    <row r="380" spans="1:17" ht="15" customHeight="1" x14ac:dyDescent="0.25">
      <c r="A380" s="49" t="s">
        <v>2263</v>
      </c>
      <c r="B380" s="50" t="s">
        <v>1782</v>
      </c>
      <c r="C380" s="50" t="s">
        <v>51</v>
      </c>
      <c r="D380" s="50" t="s">
        <v>96</v>
      </c>
      <c r="E380" s="50">
        <v>486</v>
      </c>
      <c r="F380" s="50" t="s">
        <v>1041</v>
      </c>
      <c r="G380" s="50" t="s">
        <v>1169</v>
      </c>
      <c r="H380" s="50">
        <v>8</v>
      </c>
      <c r="I380" s="50">
        <v>10.7</v>
      </c>
      <c r="J380" s="50">
        <v>2.7</v>
      </c>
      <c r="K380" s="50" t="s">
        <v>1823</v>
      </c>
      <c r="L380" s="50" t="s">
        <v>288</v>
      </c>
      <c r="M380" s="50" t="s">
        <v>1765</v>
      </c>
      <c r="N380" s="50">
        <v>18.600000000000001</v>
      </c>
      <c r="O380" s="104" t="s">
        <v>1761</v>
      </c>
      <c r="P380" s="50" t="s">
        <v>1798</v>
      </c>
      <c r="Q380" s="105">
        <v>74039</v>
      </c>
    </row>
    <row r="381" spans="1:17" ht="15" customHeight="1" x14ac:dyDescent="0.25">
      <c r="A381" s="49" t="s">
        <v>2264</v>
      </c>
      <c r="B381" s="50" t="s">
        <v>1772</v>
      </c>
      <c r="C381" s="50" t="s">
        <v>51</v>
      </c>
      <c r="D381" s="50" t="s">
        <v>91</v>
      </c>
      <c r="E381" s="50">
        <v>64</v>
      </c>
      <c r="F381" s="50" t="s">
        <v>868</v>
      </c>
      <c r="G381" s="50" t="s">
        <v>1491</v>
      </c>
      <c r="H381" s="50">
        <v>0.9</v>
      </c>
      <c r="I381" s="50">
        <v>1</v>
      </c>
      <c r="J381" s="50">
        <v>0.1</v>
      </c>
      <c r="K381" s="50" t="s">
        <v>1803</v>
      </c>
      <c r="L381" s="50" t="s">
        <v>276</v>
      </c>
      <c r="M381" s="50" t="s">
        <v>1765</v>
      </c>
      <c r="N381" s="50">
        <v>10.3</v>
      </c>
      <c r="O381" s="104" t="s">
        <v>1761</v>
      </c>
      <c r="P381" s="50" t="s">
        <v>1820</v>
      </c>
      <c r="Q381" s="105">
        <v>14377</v>
      </c>
    </row>
    <row r="382" spans="1:17" ht="15" customHeight="1" x14ac:dyDescent="0.25">
      <c r="A382" s="49" t="s">
        <v>2265</v>
      </c>
      <c r="B382" s="50" t="s">
        <v>1786</v>
      </c>
      <c r="C382" s="50" t="s">
        <v>131</v>
      </c>
      <c r="D382" s="50" t="s">
        <v>119</v>
      </c>
      <c r="E382" s="50">
        <v>360</v>
      </c>
      <c r="F382" s="50" t="s">
        <v>1011</v>
      </c>
      <c r="G382" s="50" t="s">
        <v>1011</v>
      </c>
      <c r="H382" s="50">
        <v>6</v>
      </c>
      <c r="I382" s="50">
        <v>6.3</v>
      </c>
      <c r="J382" s="50">
        <v>0.3</v>
      </c>
      <c r="K382" s="50" t="s">
        <v>1823</v>
      </c>
      <c r="L382" s="50" t="s">
        <v>169</v>
      </c>
      <c r="M382" s="50" t="s">
        <v>1760</v>
      </c>
      <c r="N382" s="50">
        <v>5.7</v>
      </c>
      <c r="O382" s="104" t="s">
        <v>1761</v>
      </c>
      <c r="P382" s="50" t="s">
        <v>1798</v>
      </c>
      <c r="Q382" s="105">
        <v>55392</v>
      </c>
    </row>
    <row r="383" spans="1:17" ht="15" customHeight="1" x14ac:dyDescent="0.25">
      <c r="A383" s="49" t="s">
        <v>2266</v>
      </c>
      <c r="B383" s="50" t="s">
        <v>1822</v>
      </c>
      <c r="C383" s="50" t="s">
        <v>96</v>
      </c>
      <c r="D383" s="50" t="s">
        <v>83</v>
      </c>
      <c r="E383" s="50">
        <v>120</v>
      </c>
      <c r="F383" s="50" t="s">
        <v>1188</v>
      </c>
      <c r="G383" s="50" t="s">
        <v>1188</v>
      </c>
      <c r="H383" s="50">
        <v>1.7</v>
      </c>
      <c r="I383" s="50">
        <v>2.4</v>
      </c>
      <c r="J383" s="50">
        <v>0.7</v>
      </c>
      <c r="K383" s="50" t="s">
        <v>1797</v>
      </c>
      <c r="L383" s="50" t="s">
        <v>205</v>
      </c>
      <c r="M383" s="50" t="s">
        <v>1770</v>
      </c>
      <c r="N383" s="50">
        <v>3.3</v>
      </c>
      <c r="O383" s="104" t="s">
        <v>1761</v>
      </c>
      <c r="P383" s="50" t="s">
        <v>1775</v>
      </c>
      <c r="Q383" s="105">
        <v>15323</v>
      </c>
    </row>
    <row r="384" spans="1:17" ht="15" customHeight="1" x14ac:dyDescent="0.25">
      <c r="A384" s="49" t="s">
        <v>2267</v>
      </c>
      <c r="B384" s="50" t="s">
        <v>1764</v>
      </c>
      <c r="C384" s="50" t="s">
        <v>51</v>
      </c>
      <c r="D384" s="50" t="s">
        <v>62</v>
      </c>
      <c r="E384" s="50">
        <v>160</v>
      </c>
      <c r="F384" s="50" t="s">
        <v>868</v>
      </c>
      <c r="G384" s="50" t="s">
        <v>1491</v>
      </c>
      <c r="H384" s="50">
        <v>2</v>
      </c>
      <c r="I384" s="50">
        <v>2.8</v>
      </c>
      <c r="J384" s="50">
        <v>0.8</v>
      </c>
      <c r="K384" s="50" t="s">
        <v>1834</v>
      </c>
      <c r="L384" s="50" t="s">
        <v>66</v>
      </c>
      <c r="M384" s="50" t="s">
        <v>1765</v>
      </c>
      <c r="N384" s="50">
        <v>10.1</v>
      </c>
      <c r="O384" s="104" t="s">
        <v>1761</v>
      </c>
      <c r="P384" s="50" t="s">
        <v>1775</v>
      </c>
      <c r="Q384" s="105">
        <v>26997</v>
      </c>
    </row>
    <row r="385" spans="1:17" ht="15" customHeight="1" x14ac:dyDescent="0.25">
      <c r="A385" s="49" t="s">
        <v>2268</v>
      </c>
      <c r="B385" s="50" t="s">
        <v>1768</v>
      </c>
      <c r="C385" s="50" t="s">
        <v>51</v>
      </c>
      <c r="D385" s="50" t="s">
        <v>103</v>
      </c>
      <c r="E385" s="50">
        <v>350</v>
      </c>
      <c r="F385" s="50" t="s">
        <v>1405</v>
      </c>
      <c r="G385" s="50" t="s">
        <v>1405</v>
      </c>
      <c r="H385" s="50">
        <v>5.0999999999999996</v>
      </c>
      <c r="I385" s="50">
        <v>6.7</v>
      </c>
      <c r="J385" s="50">
        <v>1.6</v>
      </c>
      <c r="K385" s="50" t="s">
        <v>1807</v>
      </c>
      <c r="L385" s="50" t="s">
        <v>227</v>
      </c>
      <c r="M385" s="50" t="s">
        <v>731</v>
      </c>
      <c r="N385" s="50">
        <v>29.3</v>
      </c>
      <c r="O385" s="104" t="s">
        <v>1761</v>
      </c>
      <c r="P385" s="50" t="s">
        <v>1775</v>
      </c>
      <c r="Q385" s="105">
        <v>59025</v>
      </c>
    </row>
    <row r="386" spans="1:17" ht="15" customHeight="1" x14ac:dyDescent="0.25">
      <c r="A386" s="49" t="s">
        <v>2269</v>
      </c>
      <c r="B386" s="50" t="s">
        <v>1792</v>
      </c>
      <c r="C386" s="50" t="s">
        <v>51</v>
      </c>
      <c r="D386" s="50" t="s">
        <v>86</v>
      </c>
      <c r="E386" s="50">
        <v>165</v>
      </c>
      <c r="F386" s="50" t="s">
        <v>758</v>
      </c>
      <c r="G386" s="50" t="s">
        <v>1126</v>
      </c>
      <c r="H386" s="50">
        <v>2.2000000000000002</v>
      </c>
      <c r="I386" s="50">
        <v>2.8</v>
      </c>
      <c r="J386" s="50">
        <v>0.6</v>
      </c>
      <c r="K386" s="50" t="s">
        <v>1807</v>
      </c>
      <c r="L386" s="50" t="s">
        <v>219</v>
      </c>
      <c r="M386" s="50" t="s">
        <v>731</v>
      </c>
      <c r="N386" s="50">
        <v>24.5</v>
      </c>
      <c r="O386" s="104" t="s">
        <v>1761</v>
      </c>
      <c r="P386" s="50" t="s">
        <v>1808</v>
      </c>
      <c r="Q386" s="105">
        <v>37115</v>
      </c>
    </row>
    <row r="387" spans="1:17" ht="15" customHeight="1" x14ac:dyDescent="0.25">
      <c r="A387" s="49" t="s">
        <v>2270</v>
      </c>
      <c r="B387" s="50" t="s">
        <v>1812</v>
      </c>
      <c r="C387" s="50" t="s">
        <v>86</v>
      </c>
      <c r="D387" s="50" t="s">
        <v>68</v>
      </c>
      <c r="E387" s="50">
        <v>135</v>
      </c>
      <c r="F387" s="50" t="s">
        <v>338</v>
      </c>
      <c r="G387" s="50" t="s">
        <v>1439</v>
      </c>
      <c r="H387" s="50">
        <v>1.9</v>
      </c>
      <c r="I387" s="50">
        <v>2.4</v>
      </c>
      <c r="J387" s="50">
        <v>0.5</v>
      </c>
      <c r="K387" s="50" t="s">
        <v>1783</v>
      </c>
      <c r="L387" s="50" t="s">
        <v>222</v>
      </c>
      <c r="M387" s="50" t="s">
        <v>731</v>
      </c>
      <c r="N387" s="50">
        <v>27.1</v>
      </c>
      <c r="O387" s="104" t="s">
        <v>1761</v>
      </c>
      <c r="P387" s="50" t="s">
        <v>1762</v>
      </c>
      <c r="Q387" s="105">
        <v>32659</v>
      </c>
    </row>
    <row r="388" spans="1:17" ht="15" customHeight="1" x14ac:dyDescent="0.25">
      <c r="A388" s="49" t="s">
        <v>2271</v>
      </c>
      <c r="B388" s="50" t="s">
        <v>1805</v>
      </c>
      <c r="C388" s="50" t="s">
        <v>51</v>
      </c>
      <c r="D388" s="50" t="s">
        <v>131</v>
      </c>
      <c r="E388" s="50">
        <v>44</v>
      </c>
      <c r="F388" s="50" t="s">
        <v>800</v>
      </c>
      <c r="G388" s="50" t="s">
        <v>800</v>
      </c>
      <c r="H388" s="50">
        <v>0.6</v>
      </c>
      <c r="I388" s="50">
        <v>0.8</v>
      </c>
      <c r="J388" s="50">
        <v>0.2</v>
      </c>
      <c r="K388" s="50" t="s">
        <v>1823</v>
      </c>
      <c r="L388" s="50" t="s">
        <v>176</v>
      </c>
      <c r="M388" s="50" t="s">
        <v>731</v>
      </c>
      <c r="N388" s="50">
        <v>11.3</v>
      </c>
      <c r="O388" s="104" t="s">
        <v>1761</v>
      </c>
      <c r="P388" s="50" t="s">
        <v>1820</v>
      </c>
      <c r="Q388" s="105">
        <v>5518</v>
      </c>
    </row>
    <row r="389" spans="1:17" ht="15" customHeight="1" x14ac:dyDescent="0.25">
      <c r="A389" s="49" t="s">
        <v>2272</v>
      </c>
      <c r="B389" s="50" t="s">
        <v>1782</v>
      </c>
      <c r="C389" s="50" t="s">
        <v>51</v>
      </c>
      <c r="D389" s="50" t="s">
        <v>96</v>
      </c>
      <c r="E389" s="50">
        <v>486</v>
      </c>
      <c r="F389" s="50" t="s">
        <v>853</v>
      </c>
      <c r="G389" s="50" t="s">
        <v>932</v>
      </c>
      <c r="H389" s="50">
        <v>6.7</v>
      </c>
      <c r="I389" s="50">
        <v>7.3</v>
      </c>
      <c r="J389" s="50">
        <v>0.6</v>
      </c>
      <c r="K389" s="50" t="s">
        <v>1783</v>
      </c>
      <c r="L389" s="50" t="s">
        <v>112</v>
      </c>
      <c r="M389" s="50" t="s">
        <v>1770</v>
      </c>
      <c r="N389" s="50">
        <v>15.8</v>
      </c>
      <c r="O389" s="104" t="s">
        <v>1761</v>
      </c>
      <c r="P389" s="50" t="s">
        <v>1775</v>
      </c>
      <c r="Q389" s="105">
        <v>94654</v>
      </c>
    </row>
    <row r="390" spans="1:17" ht="15" customHeight="1" x14ac:dyDescent="0.25">
      <c r="A390" s="49" t="s">
        <v>2273</v>
      </c>
      <c r="B390" s="50" t="s">
        <v>1855</v>
      </c>
      <c r="C390" s="50" t="s">
        <v>68</v>
      </c>
      <c r="D390" s="50" t="s">
        <v>93</v>
      </c>
      <c r="E390" s="50">
        <v>67</v>
      </c>
      <c r="F390" s="50" t="s">
        <v>820</v>
      </c>
      <c r="G390" s="50" t="s">
        <v>2059</v>
      </c>
      <c r="H390" s="50">
        <v>1.2</v>
      </c>
      <c r="I390" s="50">
        <v>1.5</v>
      </c>
      <c r="J390" s="50">
        <v>0.3</v>
      </c>
      <c r="K390" s="50" t="s">
        <v>1797</v>
      </c>
      <c r="L390" s="50" t="s">
        <v>123</v>
      </c>
      <c r="M390" s="50" t="s">
        <v>1790</v>
      </c>
      <c r="N390" s="50">
        <v>23</v>
      </c>
      <c r="O390" s="104" t="s">
        <v>1761</v>
      </c>
      <c r="P390" s="50" t="s">
        <v>1820</v>
      </c>
      <c r="Q390" s="105">
        <v>11324</v>
      </c>
    </row>
    <row r="391" spans="1:17" ht="15" customHeight="1" x14ac:dyDescent="0.25">
      <c r="A391" s="49" t="s">
        <v>2274</v>
      </c>
      <c r="B391" s="50" t="s">
        <v>1825</v>
      </c>
      <c r="C391" s="50" t="s">
        <v>103</v>
      </c>
      <c r="D391" s="50" t="s">
        <v>72</v>
      </c>
      <c r="E391" s="50">
        <v>64</v>
      </c>
      <c r="F391" s="50" t="s">
        <v>1362</v>
      </c>
      <c r="G391" s="50"/>
      <c r="H391" s="50">
        <v>1.1000000000000001</v>
      </c>
      <c r="I391" s="50"/>
      <c r="J391" s="50">
        <v>0</v>
      </c>
      <c r="K391" s="50" t="s">
        <v>1803</v>
      </c>
      <c r="L391" s="50" t="s">
        <v>246</v>
      </c>
      <c r="M391" s="50" t="s">
        <v>1790</v>
      </c>
      <c r="N391" s="50">
        <v>9.5</v>
      </c>
      <c r="O391" s="104" t="s">
        <v>1766</v>
      </c>
      <c r="P391" s="50"/>
      <c r="Q391" s="105">
        <v>14093</v>
      </c>
    </row>
    <row r="392" spans="1:17" ht="15" customHeight="1" x14ac:dyDescent="0.25">
      <c r="A392" s="49" t="s">
        <v>2275</v>
      </c>
      <c r="B392" s="50" t="s">
        <v>1758</v>
      </c>
      <c r="C392" s="50" t="s">
        <v>86</v>
      </c>
      <c r="D392" s="50" t="s">
        <v>51</v>
      </c>
      <c r="E392" s="50">
        <v>165</v>
      </c>
      <c r="F392" s="50" t="s">
        <v>2276</v>
      </c>
      <c r="G392" s="50" t="s">
        <v>2277</v>
      </c>
      <c r="H392" s="50">
        <v>3.2</v>
      </c>
      <c r="I392" s="50">
        <v>3.2</v>
      </c>
      <c r="J392" s="50">
        <v>0</v>
      </c>
      <c r="K392" s="50" t="s">
        <v>1823</v>
      </c>
      <c r="L392" s="50" t="s">
        <v>168</v>
      </c>
      <c r="M392" s="50" t="s">
        <v>1755</v>
      </c>
      <c r="N392" s="50">
        <v>22.6</v>
      </c>
      <c r="O392" s="104" t="s">
        <v>1761</v>
      </c>
      <c r="P392" s="50" t="s">
        <v>1780</v>
      </c>
      <c r="Q392" s="105">
        <v>35657</v>
      </c>
    </row>
    <row r="393" spans="1:17" ht="15" customHeight="1" x14ac:dyDescent="0.25">
      <c r="A393" s="49" t="s">
        <v>2278</v>
      </c>
      <c r="B393" s="50" t="s">
        <v>1855</v>
      </c>
      <c r="C393" s="50" t="s">
        <v>68</v>
      </c>
      <c r="D393" s="50" t="s">
        <v>93</v>
      </c>
      <c r="E393" s="50">
        <v>67</v>
      </c>
      <c r="F393" s="50" t="s">
        <v>1560</v>
      </c>
      <c r="G393" s="50" t="s">
        <v>2009</v>
      </c>
      <c r="H393" s="50">
        <v>1.1000000000000001</v>
      </c>
      <c r="I393" s="50">
        <v>1.3</v>
      </c>
      <c r="J393" s="50">
        <v>0.2</v>
      </c>
      <c r="K393" s="50" t="s">
        <v>1797</v>
      </c>
      <c r="L393" s="50" t="s">
        <v>227</v>
      </c>
      <c r="M393" s="50" t="s">
        <v>1765</v>
      </c>
      <c r="N393" s="50">
        <v>24.8</v>
      </c>
      <c r="O393" s="104" t="s">
        <v>1761</v>
      </c>
      <c r="P393" s="50" t="s">
        <v>1775</v>
      </c>
      <c r="Q393" s="105">
        <v>15437</v>
      </c>
    </row>
    <row r="394" spans="1:17" ht="15" customHeight="1" x14ac:dyDescent="0.25">
      <c r="A394" s="49" t="s">
        <v>2279</v>
      </c>
      <c r="B394" s="50" t="s">
        <v>1855</v>
      </c>
      <c r="C394" s="50" t="s">
        <v>68</v>
      </c>
      <c r="D394" s="50" t="s">
        <v>93</v>
      </c>
      <c r="E394" s="50">
        <v>67</v>
      </c>
      <c r="F394" s="50" t="s">
        <v>853</v>
      </c>
      <c r="G394" s="50"/>
      <c r="H394" s="50">
        <v>1.3</v>
      </c>
      <c r="I394" s="50"/>
      <c r="J394" s="50">
        <v>0</v>
      </c>
      <c r="K394" s="50" t="s">
        <v>1759</v>
      </c>
      <c r="L394" s="50" t="s">
        <v>112</v>
      </c>
      <c r="M394" s="50" t="s">
        <v>1790</v>
      </c>
      <c r="N394" s="50">
        <v>28.5</v>
      </c>
      <c r="O394" s="104" t="s">
        <v>700</v>
      </c>
      <c r="P394" s="50"/>
      <c r="Q394" s="105">
        <v>14245</v>
      </c>
    </row>
    <row r="395" spans="1:17" ht="15" customHeight="1" x14ac:dyDescent="0.25">
      <c r="A395" s="49" t="s">
        <v>2280</v>
      </c>
      <c r="B395" s="50" t="s">
        <v>1768</v>
      </c>
      <c r="C395" s="50" t="s">
        <v>51</v>
      </c>
      <c r="D395" s="50" t="s">
        <v>103</v>
      </c>
      <c r="E395" s="50">
        <v>350</v>
      </c>
      <c r="F395" s="50" t="s">
        <v>1049</v>
      </c>
      <c r="G395" s="50" t="s">
        <v>1421</v>
      </c>
      <c r="H395" s="50">
        <v>5.2</v>
      </c>
      <c r="I395" s="50">
        <v>6.8</v>
      </c>
      <c r="J395" s="50">
        <v>1.6</v>
      </c>
      <c r="K395" s="50" t="s">
        <v>1783</v>
      </c>
      <c r="L395" s="50" t="s">
        <v>66</v>
      </c>
      <c r="M395" s="50" t="s">
        <v>1765</v>
      </c>
      <c r="N395" s="50">
        <v>27.7</v>
      </c>
      <c r="O395" s="104" t="s">
        <v>1761</v>
      </c>
      <c r="P395" s="50" t="s">
        <v>1808</v>
      </c>
      <c r="Q395" s="105">
        <v>83150</v>
      </c>
    </row>
    <row r="396" spans="1:17" ht="15" customHeight="1" x14ac:dyDescent="0.25">
      <c r="A396" s="49" t="s">
        <v>2281</v>
      </c>
      <c r="B396" s="50" t="s">
        <v>1753</v>
      </c>
      <c r="C396" s="50" t="s">
        <v>96</v>
      </c>
      <c r="D396" s="50" t="s">
        <v>51</v>
      </c>
      <c r="E396" s="50">
        <v>486</v>
      </c>
      <c r="F396" s="50" t="s">
        <v>2017</v>
      </c>
      <c r="G396" s="50" t="s">
        <v>1017</v>
      </c>
      <c r="H396" s="50">
        <v>6.5</v>
      </c>
      <c r="I396" s="50">
        <v>8.3000000000000007</v>
      </c>
      <c r="J396" s="50">
        <v>1.8</v>
      </c>
      <c r="K396" s="50" t="s">
        <v>1797</v>
      </c>
      <c r="L396" s="50" t="s">
        <v>192</v>
      </c>
      <c r="M396" s="50" t="s">
        <v>1765</v>
      </c>
      <c r="N396" s="50">
        <v>5.0999999999999996</v>
      </c>
      <c r="O396" s="104" t="s">
        <v>1761</v>
      </c>
      <c r="P396" s="50" t="s">
        <v>1820</v>
      </c>
      <c r="Q396" s="105">
        <v>101307</v>
      </c>
    </row>
    <row r="397" spans="1:17" ht="15" customHeight="1" x14ac:dyDescent="0.25">
      <c r="A397" s="49" t="s">
        <v>2282</v>
      </c>
      <c r="B397" s="50" t="s">
        <v>1819</v>
      </c>
      <c r="C397" s="50" t="s">
        <v>103</v>
      </c>
      <c r="D397" s="50" t="s">
        <v>51</v>
      </c>
      <c r="E397" s="50">
        <v>350</v>
      </c>
      <c r="F397" s="50" t="s">
        <v>2283</v>
      </c>
      <c r="G397" s="50"/>
      <c r="H397" s="50">
        <v>4.9000000000000004</v>
      </c>
      <c r="I397" s="50"/>
      <c r="J397" s="50">
        <v>0</v>
      </c>
      <c r="K397" s="50" t="s">
        <v>1769</v>
      </c>
      <c r="L397" s="50" t="s">
        <v>194</v>
      </c>
      <c r="M397" s="50" t="s">
        <v>1784</v>
      </c>
      <c r="N397" s="50">
        <v>0.8</v>
      </c>
      <c r="O397" s="50" t="s">
        <v>1756</v>
      </c>
      <c r="P397" s="50"/>
      <c r="Q397" s="105">
        <v>59159</v>
      </c>
    </row>
    <row r="398" spans="1:17" ht="15" customHeight="1" x14ac:dyDescent="0.25">
      <c r="A398" s="49" t="s">
        <v>2284</v>
      </c>
      <c r="B398" s="50" t="s">
        <v>1777</v>
      </c>
      <c r="C398" s="50" t="s">
        <v>68</v>
      </c>
      <c r="D398" s="50" t="s">
        <v>86</v>
      </c>
      <c r="E398" s="50">
        <v>135</v>
      </c>
      <c r="F398" s="50" t="s">
        <v>1524</v>
      </c>
      <c r="G398" s="50"/>
      <c r="H398" s="50">
        <v>2</v>
      </c>
      <c r="I398" s="50"/>
      <c r="J398" s="50">
        <v>0</v>
      </c>
      <c r="K398" s="50" t="s">
        <v>1754</v>
      </c>
      <c r="L398" s="50" t="s">
        <v>267</v>
      </c>
      <c r="M398" s="50" t="s">
        <v>1790</v>
      </c>
      <c r="N398" s="50">
        <v>1.7</v>
      </c>
      <c r="O398" s="50" t="s">
        <v>1756</v>
      </c>
      <c r="P398" s="50"/>
      <c r="Q398" s="105">
        <v>18462</v>
      </c>
    </row>
    <row r="399" spans="1:17" ht="15" customHeight="1" x14ac:dyDescent="0.25">
      <c r="A399" s="49" t="s">
        <v>2285</v>
      </c>
      <c r="B399" s="50" t="s">
        <v>1819</v>
      </c>
      <c r="C399" s="50" t="s">
        <v>103</v>
      </c>
      <c r="D399" s="50" t="s">
        <v>51</v>
      </c>
      <c r="E399" s="50">
        <v>350</v>
      </c>
      <c r="F399" s="50" t="s">
        <v>389</v>
      </c>
      <c r="G399" s="50" t="s">
        <v>968</v>
      </c>
      <c r="H399" s="50">
        <v>6.6</v>
      </c>
      <c r="I399" s="50">
        <v>9.6999999999999993</v>
      </c>
      <c r="J399" s="50">
        <v>3.1</v>
      </c>
      <c r="K399" s="50" t="s">
        <v>1807</v>
      </c>
      <c r="L399" s="50" t="s">
        <v>215</v>
      </c>
      <c r="M399" s="50" t="s">
        <v>1765</v>
      </c>
      <c r="N399" s="50">
        <v>5.9</v>
      </c>
      <c r="O399" s="104" t="s">
        <v>1761</v>
      </c>
      <c r="P399" s="50" t="s">
        <v>1820</v>
      </c>
      <c r="Q399" s="105">
        <v>54959</v>
      </c>
    </row>
    <row r="400" spans="1:17" ht="15" customHeight="1" x14ac:dyDescent="0.25">
      <c r="A400" s="49" t="s">
        <v>2286</v>
      </c>
      <c r="B400" s="50" t="s">
        <v>1812</v>
      </c>
      <c r="C400" s="50" t="s">
        <v>86</v>
      </c>
      <c r="D400" s="50" t="s">
        <v>68</v>
      </c>
      <c r="E400" s="50">
        <v>135</v>
      </c>
      <c r="F400" s="50" t="s">
        <v>2178</v>
      </c>
      <c r="G400" s="50" t="s">
        <v>1138</v>
      </c>
      <c r="H400" s="50">
        <v>2.5</v>
      </c>
      <c r="I400" s="50">
        <v>2.4</v>
      </c>
      <c r="J400" s="50">
        <v>0</v>
      </c>
      <c r="K400" s="50" t="s">
        <v>1823</v>
      </c>
      <c r="L400" s="50" t="s">
        <v>191</v>
      </c>
      <c r="M400" s="50" t="s">
        <v>1770</v>
      </c>
      <c r="N400" s="50">
        <v>26.6</v>
      </c>
      <c r="O400" s="104" t="s">
        <v>1761</v>
      </c>
      <c r="P400" s="50" t="s">
        <v>1780</v>
      </c>
      <c r="Q400" s="105">
        <v>19724</v>
      </c>
    </row>
    <row r="401" spans="1:17" ht="15" customHeight="1" thickBot="1" x14ac:dyDescent="0.3">
      <c r="A401" s="53" t="s">
        <v>2287</v>
      </c>
      <c r="B401" s="54" t="s">
        <v>1855</v>
      </c>
      <c r="C401" s="54" t="s">
        <v>68</v>
      </c>
      <c r="D401" s="54" t="s">
        <v>93</v>
      </c>
      <c r="E401" s="54">
        <v>67</v>
      </c>
      <c r="F401" s="54" t="s">
        <v>1409</v>
      </c>
      <c r="G401" s="54" t="s">
        <v>1409</v>
      </c>
      <c r="H401" s="54">
        <v>1.3</v>
      </c>
      <c r="I401" s="54">
        <v>1.7</v>
      </c>
      <c r="J401" s="54">
        <v>0.4</v>
      </c>
      <c r="K401" s="54" t="s">
        <v>1759</v>
      </c>
      <c r="L401" s="54" t="s">
        <v>87</v>
      </c>
      <c r="M401" s="54" t="s">
        <v>1770</v>
      </c>
      <c r="N401" s="54">
        <v>11.9</v>
      </c>
      <c r="O401" s="106" t="s">
        <v>1761</v>
      </c>
      <c r="P401" s="54" t="s">
        <v>1798</v>
      </c>
      <c r="Q401" s="107">
        <v>11837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78"/>
  <sheetViews>
    <sheetView showGridLines="0" tabSelected="1" zoomScaleNormal="100" workbookViewId="0">
      <selection activeCell="F45" sqref="F45"/>
    </sheetView>
  </sheetViews>
  <sheetFormatPr defaultColWidth="8.7109375" defaultRowHeight="15" x14ac:dyDescent="0.25"/>
  <cols>
    <col min="1" max="1" width="2" style="1" customWidth="1"/>
    <col min="2" max="15" width="14" style="1" customWidth="1"/>
    <col min="16" max="16" width="15.28515625" style="1" customWidth="1"/>
    <col min="17" max="19" width="14" style="1" customWidth="1"/>
    <col min="20" max="20" width="20" style="1" customWidth="1"/>
    <col min="21" max="21" width="19.5703125" style="1" customWidth="1"/>
    <col min="22" max="22" width="14" style="1" customWidth="1"/>
    <col min="23" max="16384" width="8.7109375" style="1"/>
  </cols>
  <sheetData>
    <row r="1" spans="2:24" ht="37.5" customHeight="1" x14ac:dyDescent="0.25">
      <c r="B1" s="111" t="s">
        <v>2288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pans="2:24" ht="18" customHeight="1" x14ac:dyDescent="0.25">
      <c r="B2" s="112" t="s">
        <v>2289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T2" s="27"/>
      <c r="U2" s="27"/>
    </row>
    <row r="3" spans="2:24" ht="19.5" customHeight="1" thickBot="1" x14ac:dyDescent="0.3">
      <c r="S3" s="20"/>
      <c r="V3" s="26"/>
    </row>
    <row r="4" spans="2:24" x14ac:dyDescent="0.25">
      <c r="O4" s="108" t="s">
        <v>2290</v>
      </c>
      <c r="P4" s="109"/>
      <c r="S4" s="25"/>
      <c r="V4" s="26"/>
    </row>
    <row r="5" spans="2:24" ht="15.75" thickBot="1" x14ac:dyDescent="0.3">
      <c r="O5" s="37" t="s">
        <v>34</v>
      </c>
      <c r="P5" s="38" t="s">
        <v>2291</v>
      </c>
      <c r="S5" s="25"/>
      <c r="V5" s="26"/>
    </row>
    <row r="6" spans="2:24" x14ac:dyDescent="0.25">
      <c r="O6" s="35" t="s">
        <v>107</v>
      </c>
      <c r="P6" s="36">
        <f>COUNTIF('Fleet Data'!B2:B201,O6)</f>
        <v>10</v>
      </c>
      <c r="S6" s="25"/>
      <c r="V6" s="26"/>
    </row>
    <row r="7" spans="2:24" x14ac:dyDescent="0.25">
      <c r="O7" s="31" t="s">
        <v>50</v>
      </c>
      <c r="P7" s="32">
        <f>COUNTIF('Fleet Data'!B2:B201,O7)</f>
        <v>24</v>
      </c>
      <c r="S7" s="25"/>
      <c r="V7" s="26"/>
    </row>
    <row r="8" spans="2:24" x14ac:dyDescent="0.25">
      <c r="O8" s="31" t="s">
        <v>98</v>
      </c>
      <c r="P8" s="32">
        <f>COUNTIF('Fleet Data'!B2:B201,O8)</f>
        <v>16</v>
      </c>
      <c r="S8" s="25"/>
      <c r="V8" s="26"/>
    </row>
    <row r="9" spans="2:24" x14ac:dyDescent="0.25">
      <c r="O9" s="31" t="s">
        <v>79</v>
      </c>
      <c r="P9" s="32">
        <f>COUNTIF('Fleet Data'!B2:B201,O9)</f>
        <v>17</v>
      </c>
      <c r="S9" s="25"/>
      <c r="V9" s="26"/>
    </row>
    <row r="10" spans="2:24" x14ac:dyDescent="0.25">
      <c r="O10" s="31" t="s">
        <v>71</v>
      </c>
      <c r="P10" s="32">
        <f>COUNTIF('Fleet Data'!B2:B201,O10)</f>
        <v>16</v>
      </c>
      <c r="S10" s="25"/>
      <c r="V10" s="26"/>
    </row>
    <row r="11" spans="2:24" x14ac:dyDescent="0.25">
      <c r="O11" s="31" t="s">
        <v>67</v>
      </c>
      <c r="P11" s="32">
        <f>COUNTIF('Fleet Data'!B2:B201,O11)</f>
        <v>27</v>
      </c>
      <c r="S11" s="25"/>
      <c r="V11" s="26"/>
    </row>
    <row r="12" spans="2:24" x14ac:dyDescent="0.25">
      <c r="O12" s="31" t="s">
        <v>57</v>
      </c>
      <c r="P12" s="32">
        <f>COUNTIF('Fleet Data'!B2:B201,O12)</f>
        <v>19</v>
      </c>
      <c r="S12" s="25"/>
      <c r="V12" s="26"/>
    </row>
    <row r="13" spans="2:24" x14ac:dyDescent="0.25">
      <c r="O13" s="31" t="s">
        <v>113</v>
      </c>
      <c r="P13" s="32">
        <f>COUNTIF('Fleet Data'!B2:B201,O13)</f>
        <v>30</v>
      </c>
      <c r="S13" s="25"/>
      <c r="V13" s="26"/>
    </row>
    <row r="14" spans="2:24" x14ac:dyDescent="0.25">
      <c r="O14" s="31" t="s">
        <v>61</v>
      </c>
      <c r="P14" s="32">
        <f>COUNTIF('Fleet Data'!B2:B201,O14)</f>
        <v>28</v>
      </c>
      <c r="S14" s="25"/>
      <c r="V14" s="26"/>
    </row>
    <row r="15" spans="2:24" ht="15.75" thickBot="1" x14ac:dyDescent="0.3">
      <c r="O15" s="33" t="s">
        <v>75</v>
      </c>
      <c r="P15" s="34">
        <f>COUNTIF('Fleet Data'!B2:B201,O15)</f>
        <v>13</v>
      </c>
      <c r="T15" s="41"/>
      <c r="U15" s="41"/>
      <c r="V15" s="27"/>
    </row>
    <row r="16" spans="2:24" ht="15" customHeight="1" thickBot="1" x14ac:dyDescent="0.3">
      <c r="S16" s="25"/>
      <c r="W16" s="40"/>
      <c r="X16" s="39"/>
    </row>
    <row r="17" spans="2:23" x14ac:dyDescent="0.25">
      <c r="O17" s="108" t="s">
        <v>2292</v>
      </c>
      <c r="P17" s="110"/>
      <c r="Q17" s="109"/>
      <c r="S17" s="25"/>
      <c r="W17" s="26"/>
    </row>
    <row r="18" spans="2:23" x14ac:dyDescent="0.25">
      <c r="O18" s="29" t="s">
        <v>2293</v>
      </c>
      <c r="P18" s="2" t="s">
        <v>2294</v>
      </c>
      <c r="Q18" s="30" t="s">
        <v>2295</v>
      </c>
      <c r="S18" s="25"/>
      <c r="W18" s="26"/>
    </row>
    <row r="19" spans="2:23" ht="19.5" customHeight="1" x14ac:dyDescent="0.25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  <c r="O19" s="42" t="s">
        <v>2296</v>
      </c>
      <c r="P19" s="19">
        <f>SUMPRODUCT((LEFT('Purchase Orders'!E2:E481,7)=O19)*'Purchase Orders'!L2:L481)</f>
        <v>268638671</v>
      </c>
      <c r="Q19" s="43">
        <f>SUMPRODUCT((LEFT('Purchase Orders'!E2:E481,7)=O19)*1)</f>
        <v>20</v>
      </c>
      <c r="S19" s="25"/>
      <c r="W19" s="26"/>
    </row>
    <row r="20" spans="2:23" x14ac:dyDescent="0.25">
      <c r="O20" s="42" t="s">
        <v>2297</v>
      </c>
      <c r="P20" s="19">
        <f>SUMPRODUCT((LEFT('Purchase Orders'!E2:E481,7)=O20)*'Purchase Orders'!L2:L481)</f>
        <v>252602088</v>
      </c>
      <c r="Q20" s="43">
        <f>SUMPRODUCT((LEFT('Purchase Orders'!E2:E481,7)=O20)*1)</f>
        <v>20</v>
      </c>
      <c r="S20" s="25"/>
      <c r="W20" s="26"/>
    </row>
    <row r="21" spans="2:23" x14ac:dyDescent="0.25">
      <c r="O21" s="42" t="s">
        <v>2298</v>
      </c>
      <c r="P21" s="19">
        <f>SUMPRODUCT((LEFT('Purchase Orders'!E2:E481,7)=O21)*'Purchase Orders'!L2:L481)</f>
        <v>134747796</v>
      </c>
      <c r="Q21" s="43">
        <f>SUMPRODUCT((LEFT('Purchase Orders'!E2:E481,7)=O21)*1)</f>
        <v>20</v>
      </c>
      <c r="S21" s="25"/>
      <c r="W21" s="26"/>
    </row>
    <row r="22" spans="2:23" x14ac:dyDescent="0.25">
      <c r="O22" s="42" t="s">
        <v>2299</v>
      </c>
      <c r="P22" s="19">
        <f>SUMPRODUCT((LEFT('Purchase Orders'!E2:E481,7)=O22)*'Purchase Orders'!L2:L481)</f>
        <v>187054766</v>
      </c>
      <c r="Q22" s="43">
        <f>SUMPRODUCT((LEFT('Purchase Orders'!E2:E481,7)=O22)*1)</f>
        <v>20</v>
      </c>
      <c r="S22" s="25"/>
      <c r="W22" s="26"/>
    </row>
    <row r="23" spans="2:23" x14ac:dyDescent="0.25">
      <c r="O23" s="42" t="s">
        <v>2300</v>
      </c>
      <c r="P23" s="19">
        <f>SUMPRODUCT((LEFT('Purchase Orders'!E2:E481,7)=O23)*'Purchase Orders'!L2:L481)</f>
        <v>196642539</v>
      </c>
      <c r="Q23" s="43">
        <f>SUMPRODUCT((LEFT('Purchase Orders'!E2:E481,7)=O23)*1)</f>
        <v>20</v>
      </c>
      <c r="S23" s="25"/>
      <c r="W23" s="26"/>
    </row>
    <row r="24" spans="2:23" x14ac:dyDescent="0.25">
      <c r="O24" s="42" t="s">
        <v>2301</v>
      </c>
      <c r="P24" s="19">
        <f>SUMPRODUCT((LEFT('Purchase Orders'!E2:E481,7)=O24)*'Purchase Orders'!L2:L481)</f>
        <v>191826213</v>
      </c>
      <c r="Q24" s="43">
        <f>SUMPRODUCT((LEFT('Purchase Orders'!E2:E481,7)=O24)*1)</f>
        <v>20</v>
      </c>
      <c r="S24" s="25"/>
      <c r="W24" s="26"/>
    </row>
    <row r="25" spans="2:23" x14ac:dyDescent="0.25">
      <c r="O25" s="42" t="s">
        <v>2302</v>
      </c>
      <c r="P25" s="19">
        <f>SUMPRODUCT((LEFT('Purchase Orders'!E2:E481,7)=O25)*'Purchase Orders'!L2:L481)</f>
        <v>228271780</v>
      </c>
      <c r="Q25" s="43">
        <f>SUMPRODUCT((LEFT('Purchase Orders'!E2:E481,7)=O25)*1)</f>
        <v>20</v>
      </c>
      <c r="S25" s="25"/>
      <c r="W25" s="26"/>
    </row>
    <row r="26" spans="2:23" x14ac:dyDescent="0.25">
      <c r="O26" s="42" t="s">
        <v>2303</v>
      </c>
      <c r="P26" s="19">
        <f>SUMPRODUCT((LEFT('Purchase Orders'!E2:E481,7)=O26)*'Purchase Orders'!L2:L481)</f>
        <v>206865938</v>
      </c>
      <c r="Q26" s="43">
        <f>SUMPRODUCT((LEFT('Purchase Orders'!E2:E481,7)=O26)*1)</f>
        <v>20</v>
      </c>
      <c r="S26" s="25"/>
      <c r="W26" s="26"/>
    </row>
    <row r="27" spans="2:23" x14ac:dyDescent="0.25">
      <c r="O27" s="42" t="s">
        <v>2304</v>
      </c>
      <c r="P27" s="19">
        <f>SUMPRODUCT((LEFT('Purchase Orders'!E2:E481,7)=O27)*'Purchase Orders'!L2:L481)</f>
        <v>151419298</v>
      </c>
      <c r="Q27" s="43">
        <f>SUMPRODUCT((LEFT('Purchase Orders'!E2:E481,7)=O27)*1)</f>
        <v>20</v>
      </c>
      <c r="S27" s="25"/>
      <c r="W27" s="26"/>
    </row>
    <row r="28" spans="2:23" x14ac:dyDescent="0.25">
      <c r="O28" s="42" t="s">
        <v>2305</v>
      </c>
      <c r="P28" s="19">
        <f>SUMPRODUCT((LEFT('Purchase Orders'!E2:E481,7)=O28)*'Purchase Orders'!L2:L481)</f>
        <v>228562895</v>
      </c>
      <c r="Q28" s="43">
        <f>SUMPRODUCT((LEFT('Purchase Orders'!E2:E481,7)=O28)*1)</f>
        <v>20</v>
      </c>
      <c r="S28" s="25"/>
      <c r="W28" s="26"/>
    </row>
    <row r="29" spans="2:23" x14ac:dyDescent="0.25">
      <c r="O29" s="42" t="s">
        <v>2306</v>
      </c>
      <c r="P29" s="19">
        <f>SUMPRODUCT((LEFT('Purchase Orders'!E2:E481,7)=O29)*'Purchase Orders'!L2:L481)</f>
        <v>201899051</v>
      </c>
      <c r="Q29" s="43">
        <f>SUMPRODUCT((LEFT('Purchase Orders'!E2:E481,7)=O29)*1)</f>
        <v>20</v>
      </c>
      <c r="S29" s="25"/>
      <c r="W29" s="26"/>
    </row>
    <row r="30" spans="2:23" x14ac:dyDescent="0.25">
      <c r="O30" s="42" t="s">
        <v>2307</v>
      </c>
      <c r="P30" s="19">
        <f>SUMPRODUCT((LEFT('Purchase Orders'!E2:E481,7)=O30)*'Purchase Orders'!L2:L481)</f>
        <v>188510811</v>
      </c>
      <c r="Q30" s="43">
        <f>SUMPRODUCT((LEFT('Purchase Orders'!E2:E481,7)=O30)*1)</f>
        <v>20</v>
      </c>
      <c r="S30" s="25"/>
      <c r="W30" s="26"/>
    </row>
    <row r="31" spans="2:23" x14ac:dyDescent="0.25">
      <c r="O31" s="42" t="s">
        <v>2308</v>
      </c>
      <c r="P31" s="19">
        <f>SUMPRODUCT((LEFT('Purchase Orders'!E2:E481,7)=O31)*'Purchase Orders'!L2:L481)</f>
        <v>216376764</v>
      </c>
      <c r="Q31" s="43">
        <f>SUMPRODUCT((LEFT('Purchase Orders'!E2:E481,7)=O31)*1)</f>
        <v>20</v>
      </c>
      <c r="S31" s="25"/>
      <c r="W31" s="26"/>
    </row>
    <row r="32" spans="2:23" x14ac:dyDescent="0.25">
      <c r="O32" s="42" t="s">
        <v>2309</v>
      </c>
      <c r="P32" s="19">
        <f>SUMPRODUCT((LEFT('Purchase Orders'!E2:E481,7)=O32)*'Purchase Orders'!L2:L481)</f>
        <v>197985818</v>
      </c>
      <c r="Q32" s="43">
        <f>SUMPRODUCT((LEFT('Purchase Orders'!E2:E481,7)=O32)*1)</f>
        <v>20</v>
      </c>
      <c r="S32" s="25"/>
      <c r="W32" s="26"/>
    </row>
    <row r="33" spans="2:24" x14ac:dyDescent="0.25">
      <c r="O33" s="42" t="s">
        <v>2310</v>
      </c>
      <c r="P33" s="19">
        <f>SUMPRODUCT((LEFT('Purchase Orders'!E2:E481,7)=O33)*'Purchase Orders'!L2:L481)</f>
        <v>263562650</v>
      </c>
      <c r="Q33" s="43">
        <f>SUMPRODUCT((LEFT('Purchase Orders'!E2:E481,7)=O33)*1)</f>
        <v>20</v>
      </c>
      <c r="S33" s="25"/>
      <c r="W33" s="26"/>
    </row>
    <row r="34" spans="2:24" x14ac:dyDescent="0.25">
      <c r="O34" s="42" t="s">
        <v>2311</v>
      </c>
      <c r="P34" s="19">
        <f>SUMPRODUCT((LEFT('Purchase Orders'!E2:E481,7)=O34)*'Purchase Orders'!L2:L481)</f>
        <v>228035788</v>
      </c>
      <c r="Q34" s="43">
        <f>SUMPRODUCT((LEFT('Purchase Orders'!E2:E481,7)=O34)*1)</f>
        <v>20</v>
      </c>
      <c r="S34" s="25"/>
      <c r="W34" s="26"/>
    </row>
    <row r="35" spans="2:24" ht="19.5" customHeight="1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42" t="s">
        <v>2312</v>
      </c>
      <c r="P35" s="19">
        <f>SUMPRODUCT((LEFT('Purchase Orders'!E2:E481,7)=O35)*'Purchase Orders'!L2:L481)</f>
        <v>226014919</v>
      </c>
      <c r="Q35" s="43">
        <f>SUMPRODUCT((LEFT('Purchase Orders'!E2:E481,7)=O35)*1)</f>
        <v>20</v>
      </c>
      <c r="S35" s="25"/>
      <c r="W35" s="26"/>
    </row>
    <row r="36" spans="2:24" x14ac:dyDescent="0.25">
      <c r="O36" s="42" t="s">
        <v>2313</v>
      </c>
      <c r="P36" s="19">
        <f>SUMPRODUCT((LEFT('Purchase Orders'!E2:E481,7)=O36)*'Purchase Orders'!L2:L481)</f>
        <v>131023757</v>
      </c>
      <c r="Q36" s="43">
        <f>SUMPRODUCT((LEFT('Purchase Orders'!E2:E481,7)=O36)*1)</f>
        <v>20</v>
      </c>
      <c r="S36" s="25"/>
      <c r="W36" s="26"/>
    </row>
    <row r="37" spans="2:24" x14ac:dyDescent="0.25">
      <c r="O37" s="42" t="s">
        <v>2314</v>
      </c>
      <c r="P37" s="19">
        <f>SUMPRODUCT((LEFT('Purchase Orders'!E2:E481,7)=O37)*'Purchase Orders'!L2:L481)</f>
        <v>201670837</v>
      </c>
      <c r="Q37" s="43">
        <f>SUMPRODUCT((LEFT('Purchase Orders'!E2:E481,7)=O37)*1)</f>
        <v>20</v>
      </c>
      <c r="S37" s="25"/>
      <c r="W37" s="26"/>
    </row>
    <row r="38" spans="2:24" x14ac:dyDescent="0.25">
      <c r="O38" s="42" t="s">
        <v>2315</v>
      </c>
      <c r="P38" s="19">
        <f>SUMPRODUCT((LEFT('Purchase Orders'!E2:E481,7)=O38)*'Purchase Orders'!L2:L481)</f>
        <v>120896669</v>
      </c>
      <c r="Q38" s="43">
        <f>SUMPRODUCT((LEFT('Purchase Orders'!E2:E481,7)=O38)*1)</f>
        <v>20</v>
      </c>
      <c r="S38" s="25"/>
      <c r="W38" s="26"/>
    </row>
    <row r="39" spans="2:24" x14ac:dyDescent="0.25">
      <c r="O39" s="42" t="s">
        <v>2316</v>
      </c>
      <c r="P39" s="19">
        <f>SUMPRODUCT((LEFT('Purchase Orders'!E2:E481,7)=O39)*'Purchase Orders'!L2:L481)</f>
        <v>177969679</v>
      </c>
      <c r="Q39" s="43">
        <f>SUMPRODUCT((LEFT('Purchase Orders'!E2:E481,7)=O39)*1)</f>
        <v>20</v>
      </c>
      <c r="S39" s="25"/>
      <c r="W39" s="26"/>
    </row>
    <row r="40" spans="2:24" x14ac:dyDescent="0.25">
      <c r="O40" s="42" t="s">
        <v>2317</v>
      </c>
      <c r="P40" s="19">
        <f>SUMPRODUCT((LEFT('Purchase Orders'!E2:E481,7)=O40)*'Purchase Orders'!L2:L481)</f>
        <v>199194387</v>
      </c>
      <c r="Q40" s="43">
        <f>SUMPRODUCT((LEFT('Purchase Orders'!E2:E481,7)=O40)*1)</f>
        <v>20</v>
      </c>
      <c r="S40" s="25"/>
      <c r="W40" s="26"/>
    </row>
    <row r="41" spans="2:24" x14ac:dyDescent="0.25">
      <c r="O41" s="42" t="s">
        <v>2318</v>
      </c>
      <c r="P41" s="19">
        <f>SUMPRODUCT((LEFT('Purchase Orders'!E2:E481,7)=O41)*'Purchase Orders'!L2:L481)</f>
        <v>208298960</v>
      </c>
      <c r="Q41" s="43">
        <f>SUMPRODUCT((LEFT('Purchase Orders'!E2:E481,7)=O41)*1)</f>
        <v>20</v>
      </c>
      <c r="S41" s="25"/>
      <c r="W41" s="26"/>
    </row>
    <row r="42" spans="2:24" ht="15.75" thickBot="1" x14ac:dyDescent="0.3">
      <c r="O42" s="44" t="s">
        <v>2319</v>
      </c>
      <c r="P42" s="45">
        <f>SUMPRODUCT((LEFT('Purchase Orders'!E2:E481,7)=O42)*'Purchase Orders'!L2:L481)</f>
        <v>244003342</v>
      </c>
      <c r="Q42" s="46">
        <f>SUMPRODUCT((LEFT('Purchase Orders'!E2:E481,7)=O42)*1)</f>
        <v>20</v>
      </c>
      <c r="T42" s="28"/>
      <c r="U42" s="28"/>
      <c r="V42" s="28"/>
    </row>
    <row r="43" spans="2:24" ht="15.75" thickBot="1" x14ac:dyDescent="0.3">
      <c r="T43" s="27"/>
      <c r="U43" s="27"/>
      <c r="V43" s="27"/>
    </row>
    <row r="44" spans="2:24" ht="15" customHeight="1" x14ac:dyDescent="0.25">
      <c r="O44" s="108" t="s">
        <v>2320</v>
      </c>
      <c r="P44" s="110"/>
      <c r="Q44" s="109"/>
      <c r="S44" s="25"/>
      <c r="W44" s="40"/>
      <c r="X44" s="39"/>
    </row>
    <row r="45" spans="2:24" ht="25.5" x14ac:dyDescent="0.25">
      <c r="O45" s="29" t="s">
        <v>35</v>
      </c>
      <c r="P45" s="2" t="s">
        <v>44</v>
      </c>
      <c r="Q45" s="30" t="s">
        <v>2321</v>
      </c>
      <c r="S45" s="25"/>
      <c r="W45" s="26"/>
    </row>
    <row r="46" spans="2:24" x14ac:dyDescent="0.25">
      <c r="O46" s="42" t="s">
        <v>51</v>
      </c>
      <c r="P46" s="19">
        <f>SUMIF('Fleet Data'!C2:C201,O46,'Fleet Data'!L2:L201)</f>
        <v>51605380</v>
      </c>
      <c r="Q46" s="47">
        <f>AVERAGEIF('Fleet Data'!C2:C201,O46,'Fleet Data'!N2:N201)</f>
        <v>63.17499999999999</v>
      </c>
      <c r="S46" s="25"/>
      <c r="W46" s="26"/>
    </row>
    <row r="47" spans="2:24" x14ac:dyDescent="0.25">
      <c r="O47" s="42" t="s">
        <v>96</v>
      </c>
      <c r="P47" s="19">
        <f>SUMIF('Fleet Data'!C2:C201,O47,'Fleet Data'!L2:L201)</f>
        <v>67559336</v>
      </c>
      <c r="Q47" s="47">
        <f>AVERAGEIF('Fleet Data'!C2:C201,O47,'Fleet Data'!N2:N201)</f>
        <v>71.72999999999999</v>
      </c>
      <c r="S47" s="25"/>
      <c r="W47" s="26"/>
    </row>
    <row r="48" spans="2:24" x14ac:dyDescent="0.25">
      <c r="O48" s="42" t="s">
        <v>103</v>
      </c>
      <c r="P48" s="19">
        <f>SUMIF('Fleet Data'!C2:C201,O48,'Fleet Data'!L2:L201)</f>
        <v>61476812</v>
      </c>
      <c r="Q48" s="47">
        <f>AVERAGEIF('Fleet Data'!C2:C201,O48,'Fleet Data'!N2:N201)</f>
        <v>69.714285714285708</v>
      </c>
      <c r="S48" s="25"/>
      <c r="W48" s="26"/>
    </row>
    <row r="49" spans="2:23" x14ac:dyDescent="0.25">
      <c r="O49" s="42" t="s">
        <v>86</v>
      </c>
      <c r="P49" s="19">
        <f>SUMIF('Fleet Data'!C2:C201,O49,'Fleet Data'!L2:L201)</f>
        <v>37366874</v>
      </c>
      <c r="Q49" s="47">
        <f>AVERAGEIF('Fleet Data'!C2:C201,O49,'Fleet Data'!N2:N201)</f>
        <v>71.820000000000007</v>
      </c>
      <c r="S49" s="25"/>
      <c r="W49" s="26"/>
    </row>
    <row r="50" spans="2:23" x14ac:dyDescent="0.25">
      <c r="O50" s="42" t="s">
        <v>68</v>
      </c>
      <c r="P50" s="19">
        <f>SUMIF('Fleet Data'!C2:C201,O50,'Fleet Data'!L2:L201)</f>
        <v>55834045</v>
      </c>
      <c r="Q50" s="47">
        <f>AVERAGEIF('Fleet Data'!C2:C201,O50,'Fleet Data'!N2:N201)</f>
        <v>54.74</v>
      </c>
      <c r="S50" s="25"/>
      <c r="W50" s="26"/>
    </row>
    <row r="51" spans="2:23" ht="19.5" customHeight="1" x14ac:dyDescent="0.2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O51" s="42" t="s">
        <v>131</v>
      </c>
      <c r="P51" s="19">
        <f>SUMIF('Fleet Data'!C2:C201,O51,'Fleet Data'!L2:L201)</f>
        <v>27575187</v>
      </c>
      <c r="Q51" s="47">
        <f>AVERAGEIF('Fleet Data'!C2:C201,O51,'Fleet Data'!N2:N201)</f>
        <v>67.3</v>
      </c>
      <c r="S51" s="25"/>
      <c r="W51" s="26"/>
    </row>
    <row r="52" spans="2:23" x14ac:dyDescent="0.25">
      <c r="O52" s="42" t="s">
        <v>62</v>
      </c>
      <c r="P52" s="19">
        <f>SUMIF('Fleet Data'!C2:C201,O52,'Fleet Data'!L2:L201)</f>
        <v>45599715</v>
      </c>
      <c r="Q52" s="47">
        <f>AVERAGEIF('Fleet Data'!C2:C201,O52,'Fleet Data'!N2:N201)</f>
        <v>62.308333333333337</v>
      </c>
      <c r="S52" s="25"/>
      <c r="W52" s="26"/>
    </row>
    <row r="53" spans="2:23" x14ac:dyDescent="0.25">
      <c r="O53" s="42" t="s">
        <v>91</v>
      </c>
      <c r="P53" s="19">
        <f>SUMIF('Fleet Data'!C2:C201,O53,'Fleet Data'!L2:L201)</f>
        <v>32199572</v>
      </c>
      <c r="Q53" s="47">
        <f>AVERAGEIF('Fleet Data'!C2:C201,O53,'Fleet Data'!N2:N201)</f>
        <v>72.52</v>
      </c>
      <c r="S53" s="25"/>
      <c r="W53" s="26"/>
    </row>
    <row r="54" spans="2:23" x14ac:dyDescent="0.25">
      <c r="O54" s="42" t="s">
        <v>99</v>
      </c>
      <c r="P54" s="19">
        <f>SUMIF('Fleet Data'!C2:C201,O54,'Fleet Data'!L2:L201)</f>
        <v>20583871</v>
      </c>
      <c r="Q54" s="47">
        <f>AVERAGEIF('Fleet Data'!C2:C201,O54,'Fleet Data'!N2:N201)</f>
        <v>80.02</v>
      </c>
      <c r="S54" s="25"/>
      <c r="W54" s="26"/>
    </row>
    <row r="55" spans="2:23" ht="15.75" thickBot="1" x14ac:dyDescent="0.3">
      <c r="O55" s="44" t="s">
        <v>93</v>
      </c>
      <c r="P55" s="45">
        <f>SUMIF('Fleet Data'!C2:C201,O55,'Fleet Data'!L2:L201)</f>
        <v>52843904</v>
      </c>
      <c r="Q55" s="48">
        <f>AVERAGEIF('Fleet Data'!C2:C201,O55,'Fleet Data'!N2:N201)</f>
        <v>74.30714285714285</v>
      </c>
      <c r="S55" s="25"/>
      <c r="W55" s="26"/>
    </row>
    <row r="56" spans="2:23" ht="15.75" thickBot="1" x14ac:dyDescent="0.3">
      <c r="T56" s="28"/>
      <c r="U56" s="28"/>
      <c r="V56" s="28"/>
    </row>
    <row r="57" spans="2:23" x14ac:dyDescent="0.25">
      <c r="O57" s="108" t="s">
        <v>2322</v>
      </c>
      <c r="P57" s="109"/>
      <c r="T57" s="27"/>
      <c r="U57" s="27"/>
    </row>
    <row r="58" spans="2:23" ht="15" customHeight="1" x14ac:dyDescent="0.25">
      <c r="O58" s="29" t="s">
        <v>45</v>
      </c>
      <c r="P58" s="30" t="s">
        <v>2291</v>
      </c>
      <c r="S58" s="25"/>
      <c r="V58" s="40"/>
      <c r="W58" s="39"/>
    </row>
    <row r="59" spans="2:23" x14ac:dyDescent="0.25">
      <c r="O59" s="42" t="s">
        <v>727</v>
      </c>
      <c r="P59" s="43">
        <f>COUNTIF('Purchase Orders'!M2:M481,O59)</f>
        <v>281</v>
      </c>
      <c r="S59" s="25"/>
      <c r="V59" s="26"/>
    </row>
    <row r="60" spans="2:23" x14ac:dyDescent="0.25">
      <c r="O60" s="42" t="s">
        <v>692</v>
      </c>
      <c r="P60" s="43">
        <f>COUNTIF('Purchase Orders'!M2:M481,O60)</f>
        <v>125</v>
      </c>
      <c r="S60" s="25"/>
      <c r="V60" s="26"/>
    </row>
    <row r="61" spans="2:23" x14ac:dyDescent="0.25">
      <c r="O61" s="42" t="s">
        <v>759</v>
      </c>
      <c r="P61" s="43">
        <f>COUNTIF('Purchase Orders'!M2:M481,O61)</f>
        <v>31</v>
      </c>
      <c r="S61" s="25"/>
      <c r="V61" s="26"/>
    </row>
    <row r="62" spans="2:23" x14ac:dyDescent="0.25">
      <c r="O62" s="42" t="s">
        <v>700</v>
      </c>
      <c r="P62" s="43">
        <f>COUNTIF('Purchase Orders'!M2:M481,O62)</f>
        <v>43</v>
      </c>
      <c r="S62" s="25"/>
      <c r="V62" s="26"/>
    </row>
    <row r="63" spans="2:23" ht="15.75" thickBot="1" x14ac:dyDescent="0.3">
      <c r="O63" s="44" t="s">
        <v>1766</v>
      </c>
      <c r="P63" s="46">
        <f>COUNTIF('Purchase Orders'!M2:M481,O63)</f>
        <v>0</v>
      </c>
      <c r="S63" s="25"/>
      <c r="V63" s="26"/>
    </row>
    <row r="64" spans="2:23" ht="15.75" thickBot="1" x14ac:dyDescent="0.3">
      <c r="S64" s="25"/>
      <c r="V64" s="26"/>
    </row>
    <row r="65" spans="15:23" ht="30" customHeight="1" x14ac:dyDescent="0.25">
      <c r="O65" s="108" t="s">
        <v>2323</v>
      </c>
      <c r="P65" s="109"/>
      <c r="T65" s="41"/>
      <c r="U65" s="41"/>
    </row>
    <row r="66" spans="15:23" ht="15" customHeight="1" x14ac:dyDescent="0.25">
      <c r="O66" s="29" t="s">
        <v>1760</v>
      </c>
      <c r="P66" s="30" t="s">
        <v>2324</v>
      </c>
      <c r="S66" s="25"/>
      <c r="V66" s="40"/>
      <c r="W66" s="39"/>
    </row>
    <row r="67" spans="15:23" x14ac:dyDescent="0.25">
      <c r="O67" s="42" t="s">
        <v>67</v>
      </c>
      <c r="P67" s="47">
        <f>IFERROR(AVERAGEIF('Machinery Log'!B2:B301,O67,'Machinery Log'!I2:I301),0)</f>
        <v>74.114109848484844</v>
      </c>
      <c r="S67" s="25"/>
      <c r="V67" s="26"/>
    </row>
    <row r="68" spans="15:23" x14ac:dyDescent="0.25">
      <c r="O68" s="42" t="s">
        <v>349</v>
      </c>
      <c r="P68" s="47">
        <f>IFERROR(AVERAGEIF('Machinery Log'!B2:B301,O68,'Machinery Log'!I2:I301),0)</f>
        <v>67.66336441336442</v>
      </c>
      <c r="S68" s="25"/>
      <c r="V68" s="26"/>
    </row>
    <row r="69" spans="15:23" x14ac:dyDescent="0.25">
      <c r="O69" s="42" t="s">
        <v>311</v>
      </c>
      <c r="P69" s="47">
        <f>IFERROR(AVERAGEIF('Machinery Log'!B2:B301,O69,'Machinery Log'!I2:I301),0)</f>
        <v>71.779797979797962</v>
      </c>
      <c r="S69" s="25"/>
      <c r="V69" s="26"/>
    </row>
    <row r="70" spans="15:23" x14ac:dyDescent="0.25">
      <c r="O70" s="42" t="s">
        <v>371</v>
      </c>
      <c r="P70" s="47">
        <f>IFERROR(AVERAGEIF('Machinery Log'!B2:B301,O70,'Machinery Log'!I2:I301),0)</f>
        <v>64.62819370172312</v>
      </c>
      <c r="S70" s="25"/>
      <c r="V70" s="26"/>
    </row>
    <row r="71" spans="15:23" x14ac:dyDescent="0.25">
      <c r="O71" s="42" t="s">
        <v>71</v>
      </c>
      <c r="P71" s="47">
        <f>IFERROR(AVERAGEIF('Machinery Log'!B2:B301,O71,'Machinery Log'!I2:I301),0)</f>
        <v>67.288108356290181</v>
      </c>
      <c r="S71" s="25"/>
      <c r="V71" s="26"/>
    </row>
    <row r="72" spans="15:23" x14ac:dyDescent="0.25">
      <c r="O72" s="42" t="s">
        <v>369</v>
      </c>
      <c r="P72" s="47">
        <f>IFERROR(AVERAGEIF('Machinery Log'!B2:B301,O72,'Machinery Log'!I2:I301),0)</f>
        <v>68.149551066217725</v>
      </c>
      <c r="S72" s="25"/>
      <c r="V72" s="26"/>
    </row>
    <row r="73" spans="15:23" x14ac:dyDescent="0.25">
      <c r="O73" s="42" t="s">
        <v>360</v>
      </c>
      <c r="P73" s="47">
        <f>IFERROR(AVERAGEIF('Machinery Log'!B2:B301,O73,'Machinery Log'!I2:I301),0)</f>
        <v>75.521464646464651</v>
      </c>
      <c r="S73" s="25"/>
      <c r="V73" s="26"/>
    </row>
    <row r="74" spans="15:23" x14ac:dyDescent="0.25">
      <c r="O74" s="42" t="s">
        <v>386</v>
      </c>
      <c r="P74" s="47">
        <f>IFERROR(AVERAGEIF('Machinery Log'!B2:B301,O74,'Machinery Log'!I2:I301),0)</f>
        <v>62.106818181818184</v>
      </c>
      <c r="S74" s="25"/>
      <c r="V74" s="26"/>
    </row>
    <row r="75" spans="15:23" x14ac:dyDescent="0.25">
      <c r="O75" s="42" t="s">
        <v>304</v>
      </c>
      <c r="P75" s="47">
        <f>IFERROR(AVERAGEIF('Machinery Log'!B2:B301,O75,'Machinery Log'!I2:I301),0)</f>
        <v>67.526474421635712</v>
      </c>
      <c r="S75" s="25"/>
      <c r="V75" s="26"/>
    </row>
    <row r="76" spans="15:23" ht="15.75" thickBot="1" x14ac:dyDescent="0.3">
      <c r="O76" s="44" t="s">
        <v>321</v>
      </c>
      <c r="P76" s="48">
        <f>IFERROR(AVERAGEIF('Machinery Log'!B2:B301,O76,'Machinery Log'!I2:I301),0)</f>
        <v>69.707516339869272</v>
      </c>
      <c r="S76" s="25"/>
      <c r="V76" s="26"/>
    </row>
    <row r="77" spans="15:23" x14ac:dyDescent="0.25">
      <c r="S77" s="25"/>
      <c r="V77" s="26"/>
    </row>
    <row r="78" spans="15:23" x14ac:dyDescent="0.25">
      <c r="T78" s="28"/>
      <c r="U78" s="28"/>
    </row>
  </sheetData>
  <mergeCells count="7">
    <mergeCell ref="B1:R1"/>
    <mergeCell ref="B2:R2"/>
    <mergeCell ref="O4:P4"/>
    <mergeCell ref="O17:Q17"/>
    <mergeCell ref="O44:Q44"/>
    <mergeCell ref="O57:P57"/>
    <mergeCell ref="O65:P6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40"/>
  <sheetViews>
    <sheetView showGridLines="0" topLeftCell="A3" zoomScaleNormal="100" workbookViewId="0">
      <selection activeCell="H10" sqref="H10"/>
    </sheetView>
  </sheetViews>
  <sheetFormatPr defaultColWidth="8.7109375" defaultRowHeight="15" x14ac:dyDescent="0.25"/>
  <cols>
    <col min="1" max="1" width="2" style="1" customWidth="1"/>
    <col min="2" max="2" width="18" style="1" customWidth="1"/>
    <col min="3" max="6" width="14" style="1" customWidth="1"/>
    <col min="7" max="7" width="20" style="1" customWidth="1"/>
    <col min="8" max="15" width="14" style="1" customWidth="1"/>
    <col min="16" max="16384" width="8.7109375" style="1"/>
  </cols>
  <sheetData>
    <row r="1" spans="2:16" ht="39.75" customHeight="1" x14ac:dyDescent="0.25">
      <c r="B1" s="128" t="s">
        <v>2325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</row>
    <row r="2" spans="2:16" ht="18" customHeight="1" x14ac:dyDescent="0.25">
      <c r="B2" s="129" t="s">
        <v>2326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</row>
    <row r="4" spans="2:16" ht="19.5" customHeight="1" x14ac:dyDescent="0.25">
      <c r="B4" s="130" t="s">
        <v>2327</v>
      </c>
      <c r="C4" s="130"/>
      <c r="D4" s="131" t="s">
        <v>2328</v>
      </c>
      <c r="E4" s="131"/>
      <c r="F4" s="132" t="s">
        <v>2329</v>
      </c>
      <c r="G4" s="132"/>
      <c r="H4" s="133" t="s">
        <v>2330</v>
      </c>
      <c r="I4" s="133"/>
      <c r="J4" s="134" t="s">
        <v>2331</v>
      </c>
      <c r="K4" s="134"/>
      <c r="L4" s="135" t="s">
        <v>2332</v>
      </c>
      <c r="M4" s="135"/>
    </row>
    <row r="5" spans="2:16" ht="34.5" customHeight="1" x14ac:dyDescent="0.25">
      <c r="B5" s="111">
        <f>'Fleet Data'!R2</f>
        <v>200</v>
      </c>
      <c r="C5" s="111"/>
      <c r="D5" s="124">
        <f>'Fleet Data'!R3</f>
        <v>184</v>
      </c>
      <c r="E5" s="124"/>
      <c r="F5" s="125">
        <f>'Fleet Data'!R6</f>
        <v>710114919</v>
      </c>
      <c r="G5" s="125"/>
      <c r="H5" s="126">
        <f>'Fleet Data'!R7</f>
        <v>68.373500000000035</v>
      </c>
      <c r="I5" s="126"/>
      <c r="J5" s="127">
        <f>COUNTA('Purchase Orders'!A2:A481)</f>
        <v>480</v>
      </c>
      <c r="K5" s="127"/>
      <c r="L5" s="117">
        <f>COUNTIF('Purchase Orders'!O2:O481,"YES")/COUNTA('Purchase Orders'!O2:O481)*100</f>
        <v>54.374999999999993</v>
      </c>
      <c r="M5" s="117"/>
    </row>
    <row r="6" spans="2:16" ht="15.75" customHeight="1" x14ac:dyDescent="0.25">
      <c r="B6" s="118" t="s">
        <v>2333</v>
      </c>
      <c r="C6" s="118"/>
      <c r="D6" s="119" t="s">
        <v>2333</v>
      </c>
      <c r="E6" s="119"/>
      <c r="F6" s="120" t="s">
        <v>2334</v>
      </c>
      <c r="G6" s="120"/>
      <c r="H6" s="121" t="s">
        <v>2335</v>
      </c>
      <c r="I6" s="121"/>
      <c r="J6" s="122" t="s">
        <v>2336</v>
      </c>
      <c r="K6" s="122"/>
      <c r="L6" s="123" t="s">
        <v>2335</v>
      </c>
      <c r="M6" s="123"/>
    </row>
    <row r="8" spans="2:16" ht="19.5" customHeight="1" x14ac:dyDescent="0.25">
      <c r="B8" s="115" t="s">
        <v>2337</v>
      </c>
      <c r="C8" s="115"/>
      <c r="D8" s="115"/>
      <c r="E8" s="115"/>
      <c r="G8" s="115" t="s">
        <v>2338</v>
      </c>
      <c r="H8" s="115"/>
      <c r="I8" s="115"/>
      <c r="J8" s="115"/>
      <c r="K8" s="115"/>
    </row>
    <row r="9" spans="2:16" ht="19.5" customHeight="1" x14ac:dyDescent="0.25">
      <c r="B9" s="2" t="s">
        <v>35</v>
      </c>
      <c r="C9" s="2" t="s">
        <v>2339</v>
      </c>
      <c r="D9" s="2" t="s">
        <v>2340</v>
      </c>
      <c r="E9" s="2" t="s">
        <v>2324</v>
      </c>
      <c r="G9" s="2" t="s">
        <v>45</v>
      </c>
      <c r="H9" s="2" t="s">
        <v>2291</v>
      </c>
      <c r="I9" s="2" t="s">
        <v>684</v>
      </c>
      <c r="J9" s="2" t="s">
        <v>2341</v>
      </c>
    </row>
    <row r="10" spans="2:16" ht="16.5" customHeight="1" x14ac:dyDescent="0.25">
      <c r="B10" s="3" t="s">
        <v>51</v>
      </c>
      <c r="C10" s="4">
        <f>COUNTIF('Fleet Data'!C2:C201,B10)</f>
        <v>16</v>
      </c>
      <c r="D10" s="5">
        <f>AVERAGEIF('Fleet Data'!C2:C201,B10,'Fleet Data'!O2:O201)</f>
        <v>24.147802723512196</v>
      </c>
      <c r="E10" s="5">
        <f>AVERAGEIF('Fleet Data'!C2:C201,B10,'Fleet Data'!N2:N201)</f>
        <v>63.17499999999999</v>
      </c>
      <c r="G10" s="2" t="s">
        <v>727</v>
      </c>
      <c r="H10" s="4">
        <f>COUNTIF('Purchase Orders'!M2:M481,G10)</f>
        <v>281</v>
      </c>
      <c r="I10" s="6">
        <f>SUMIF('Purchase Orders'!M2:M481,G10,'Purchase Orders'!L2:L481)</f>
        <v>2869299912</v>
      </c>
      <c r="J10" s="5">
        <f>IF(COUNTA('Purchase Orders'!M2:M481)&gt;0,H10/COUNTA('Purchase Orders'!M2:M481)*100,0)</f>
        <v>58.541666666666671</v>
      </c>
    </row>
    <row r="11" spans="2:16" ht="16.5" customHeight="1" x14ac:dyDescent="0.25">
      <c r="B11" s="7" t="s">
        <v>96</v>
      </c>
      <c r="C11" s="8">
        <f>COUNTIF('Fleet Data'!C2:C201,B11)</f>
        <v>20</v>
      </c>
      <c r="D11" s="9">
        <f>AVERAGEIF('Fleet Data'!C2:C201,B11,'Fleet Data'!O2:O201)</f>
        <v>24.32789215053527</v>
      </c>
      <c r="E11" s="9">
        <f>AVERAGEIF('Fleet Data'!C2:C201,B11,'Fleet Data'!N2:N201)</f>
        <v>71.72999999999999</v>
      </c>
      <c r="G11" s="10" t="s">
        <v>692</v>
      </c>
      <c r="H11" s="8">
        <f>COUNTIF('Purchase Orders'!M2:M481,G11)</f>
        <v>125</v>
      </c>
      <c r="I11" s="11">
        <f>SUMIF('Purchase Orders'!M2:M481,G11,'Purchase Orders'!L2:L481)</f>
        <v>1389604939</v>
      </c>
      <c r="J11" s="9">
        <f>IF(COUNTA('Purchase Orders'!M2:M481)&gt;0,H11/COUNTA('Purchase Orders'!M2:M481)*100,0)</f>
        <v>26.041666666666668</v>
      </c>
    </row>
    <row r="12" spans="2:16" ht="16.5" customHeight="1" x14ac:dyDescent="0.25">
      <c r="B12" s="3" t="s">
        <v>103</v>
      </c>
      <c r="C12" s="4">
        <f>COUNTIF('Fleet Data'!C2:C201,B12)</f>
        <v>14</v>
      </c>
      <c r="D12" s="5">
        <f>AVERAGEIF('Fleet Data'!C2:C201,B12,'Fleet Data'!O2:O201)</f>
        <v>24.146899757002124</v>
      </c>
      <c r="E12" s="5">
        <f>AVERAGEIF('Fleet Data'!C2:C201,B12,'Fleet Data'!N2:N201)</f>
        <v>69.714285714285708</v>
      </c>
      <c r="G12" s="12" t="s">
        <v>759</v>
      </c>
      <c r="H12" s="4">
        <f>COUNTIF('Purchase Orders'!M2:M481,G12)</f>
        <v>31</v>
      </c>
      <c r="I12" s="6">
        <f>SUMIF('Purchase Orders'!M2:M481,G12,'Purchase Orders'!L2:L481)</f>
        <v>248262371</v>
      </c>
      <c r="J12" s="5">
        <f>IF(COUNTA('Purchase Orders'!M2:M481)&gt;0,H12/COUNTA('Purchase Orders'!M2:M481)*100,0)</f>
        <v>6.4583333333333339</v>
      </c>
    </row>
    <row r="13" spans="2:16" ht="16.5" customHeight="1" x14ac:dyDescent="0.25">
      <c r="B13" s="7" t="s">
        <v>86</v>
      </c>
      <c r="C13" s="8">
        <f>COUNTIF('Fleet Data'!C2:C201,B13)</f>
        <v>10</v>
      </c>
      <c r="D13" s="9">
        <f>AVERAGEIF('Fleet Data'!C2:C201,B13,'Fleet Data'!O2:O201)</f>
        <v>23.88191335774609</v>
      </c>
      <c r="E13" s="9">
        <f>AVERAGEIF('Fleet Data'!C2:C201,B13,'Fleet Data'!N2:N201)</f>
        <v>71.820000000000007</v>
      </c>
      <c r="G13" s="13" t="s">
        <v>700</v>
      </c>
      <c r="H13" s="8">
        <f>COUNTIF('Purchase Orders'!M2:M481,G13)</f>
        <v>43</v>
      </c>
      <c r="I13" s="11">
        <f>SUMIF('Purchase Orders'!M2:M481,G13,'Purchase Orders'!L2:L481)</f>
        <v>344908194</v>
      </c>
      <c r="J13" s="9">
        <f>IF(COUNTA('Purchase Orders'!M2:M481)&gt;0,H13/COUNTA('Purchase Orders'!M2:M481)*100,0)</f>
        <v>8.9583333333333339</v>
      </c>
    </row>
    <row r="14" spans="2:16" ht="16.5" customHeight="1" x14ac:dyDescent="0.25">
      <c r="B14" s="3" t="s">
        <v>68</v>
      </c>
      <c r="C14" s="4">
        <f>COUNTIF('Fleet Data'!C2:C201,B14)</f>
        <v>15</v>
      </c>
      <c r="D14" s="5">
        <f>AVERAGEIF('Fleet Data'!C2:C201,B14,'Fleet Data'!O2:O201)</f>
        <v>21.987793418905333</v>
      </c>
      <c r="E14" s="5">
        <f>AVERAGEIF('Fleet Data'!C2:C201,B14,'Fleet Data'!N2:N201)</f>
        <v>54.74</v>
      </c>
      <c r="G14" s="14" t="s">
        <v>1766</v>
      </c>
      <c r="H14" s="4">
        <f>COUNTIF('Purchase Orders'!M2:M481,G14)</f>
        <v>0</v>
      </c>
      <c r="I14" s="6">
        <f>SUMIF('Purchase Orders'!M2:M481,G14,'Purchase Orders'!L2:L481)</f>
        <v>0</v>
      </c>
      <c r="J14" s="5">
        <f>IF(COUNTA('Purchase Orders'!M2:M481)&gt;0,H14/COUNTA('Purchase Orders'!M2:M481)*100,0)</f>
        <v>0</v>
      </c>
    </row>
    <row r="15" spans="2:16" ht="16.5" customHeight="1" x14ac:dyDescent="0.25">
      <c r="B15" s="7" t="s">
        <v>131</v>
      </c>
      <c r="C15" s="8">
        <f>COUNTIF('Fleet Data'!C2:C201,B15)</f>
        <v>8</v>
      </c>
      <c r="D15" s="9">
        <f>AVERAGEIF('Fleet Data'!C2:C201,B15,'Fleet Data'!O2:O201)</f>
        <v>28.180659810412127</v>
      </c>
      <c r="E15" s="9">
        <f>AVERAGEIF('Fleet Data'!C2:C201,B15,'Fleet Data'!N2:N201)</f>
        <v>67.3</v>
      </c>
    </row>
    <row r="16" spans="2:16" ht="16.5" customHeight="1" x14ac:dyDescent="0.25">
      <c r="B16" s="3" t="s">
        <v>62</v>
      </c>
      <c r="C16" s="4">
        <f>COUNTIF('Fleet Data'!C2:C201,B16)</f>
        <v>12</v>
      </c>
      <c r="D16" s="5">
        <f>AVERAGEIF('Fleet Data'!C2:C201,B16,'Fleet Data'!O2:O201)</f>
        <v>23.130932699038823</v>
      </c>
      <c r="E16" s="5">
        <f>AVERAGEIF('Fleet Data'!C2:C201,B16,'Fleet Data'!N2:N201)</f>
        <v>62.308333333333337</v>
      </c>
    </row>
    <row r="17" spans="2:11" ht="16.5" customHeight="1" x14ac:dyDescent="0.25">
      <c r="B17" s="7" t="s">
        <v>91</v>
      </c>
      <c r="C17" s="8">
        <f>COUNTIF('Fleet Data'!C2:C201,B17)</f>
        <v>10</v>
      </c>
      <c r="D17" s="9">
        <f>AVERAGEIF('Fleet Data'!C2:C201,B17,'Fleet Data'!O2:O201)</f>
        <v>25.918376190336268</v>
      </c>
      <c r="E17" s="9">
        <f>AVERAGEIF('Fleet Data'!C2:C201,B17,'Fleet Data'!N2:N201)</f>
        <v>72.52</v>
      </c>
    </row>
    <row r="18" spans="2:11" ht="16.5" customHeight="1" x14ac:dyDescent="0.25">
      <c r="B18" s="3" t="s">
        <v>99</v>
      </c>
      <c r="C18" s="4">
        <f>COUNTIF('Fleet Data'!C2:C201,B18)</f>
        <v>10</v>
      </c>
      <c r="D18" s="5">
        <f>AVERAGEIF('Fleet Data'!C2:C201,B18,'Fleet Data'!O2:O201)</f>
        <v>20.540981519180029</v>
      </c>
      <c r="E18" s="5">
        <f>AVERAGEIF('Fleet Data'!C2:C201,B18,'Fleet Data'!N2:N201)</f>
        <v>80.02</v>
      </c>
    </row>
    <row r="19" spans="2:11" ht="16.5" customHeight="1" x14ac:dyDescent="0.25">
      <c r="B19" s="7" t="s">
        <v>93</v>
      </c>
      <c r="C19" s="8">
        <f>COUNTIF('Fleet Data'!C2:C201,B19)</f>
        <v>14</v>
      </c>
      <c r="D19" s="9">
        <f>AVERAGEIF('Fleet Data'!C2:C201,B19,'Fleet Data'!O2:O201)</f>
        <v>26.722106111241697</v>
      </c>
      <c r="E19" s="9">
        <f>AVERAGEIF('Fleet Data'!C2:C201,B19,'Fleet Data'!N2:N201)</f>
        <v>74.30714285714285</v>
      </c>
    </row>
    <row r="22" spans="2:11" ht="19.5" customHeight="1" x14ac:dyDescent="0.25">
      <c r="B22" s="115" t="s">
        <v>2342</v>
      </c>
      <c r="C22" s="115"/>
      <c r="D22" s="115"/>
      <c r="E22" s="115"/>
      <c r="G22" s="115" t="s">
        <v>2343</v>
      </c>
      <c r="H22" s="115"/>
      <c r="I22" s="115"/>
      <c r="J22" s="115"/>
      <c r="K22" s="115"/>
    </row>
    <row r="23" spans="2:11" ht="23.25" customHeight="1" x14ac:dyDescent="0.25">
      <c r="B23" s="2" t="s">
        <v>2344</v>
      </c>
      <c r="C23" s="2" t="s">
        <v>77</v>
      </c>
      <c r="D23" s="2" t="s">
        <v>2345</v>
      </c>
      <c r="E23" s="2" t="s">
        <v>2346</v>
      </c>
      <c r="G23" s="2" t="s">
        <v>1737</v>
      </c>
      <c r="H23" s="2" t="s">
        <v>2347</v>
      </c>
      <c r="I23" s="2" t="s">
        <v>2348</v>
      </c>
      <c r="J23" s="2" t="s">
        <v>44</v>
      </c>
      <c r="K23" s="2" t="s">
        <v>2349</v>
      </c>
    </row>
    <row r="24" spans="2:11" ht="16.5" customHeight="1" x14ac:dyDescent="0.25">
      <c r="B24" s="3" t="s">
        <v>317</v>
      </c>
      <c r="C24" s="5">
        <f>AVERAGEIF('Machinery Log'!C2:C301,B24,'Machinery Log'!I2:I301)</f>
        <v>70.357279693486589</v>
      </c>
      <c r="D24" s="6">
        <f>SUMIF('Machinery Log'!C2:C301,B24,'Machinery Log'!G2:G301)</f>
        <v>197.29999999999998</v>
      </c>
      <c r="E24" s="4">
        <f>SUMIF('Machinery Log'!C2:C301,B24,'Machinery Log'!L2:L301)</f>
        <v>4</v>
      </c>
      <c r="G24" s="15" t="s">
        <v>1782</v>
      </c>
      <c r="H24" s="16">
        <f>COUNTIF('Delivery Tracker'!B2:B401,G24)</f>
        <v>23</v>
      </c>
      <c r="I24" s="17">
        <f>IFERROR(AVERAGEIF('Delivery Tracker'!B2:B401,G24,'Delivery Tracker'!J2:J401),0)</f>
        <v>0.8</v>
      </c>
      <c r="J24" s="18">
        <f>SUMIF('Delivery Tracker'!B2:B401,G24,'Delivery Tracker'!Q2:Q401)</f>
        <v>2053835</v>
      </c>
      <c r="K24" s="17">
        <f>IFERROR(COUNTIFS('Delivery Tracker'!B2:B401,G24,'Delivery Tracker'!O2:O401,"Completed")/H24*100,0)</f>
        <v>56.521739130434781</v>
      </c>
    </row>
    <row r="25" spans="2:11" ht="16.5" customHeight="1" x14ac:dyDescent="0.25">
      <c r="B25" s="7" t="s">
        <v>312</v>
      </c>
      <c r="C25" s="9">
        <f>AVERAGEIF('Machinery Log'!C2:C301,B25,'Machinery Log'!I2:I301)</f>
        <v>72.556238056238044</v>
      </c>
      <c r="D25" s="11">
        <f>SUMIF('Machinery Log'!C2:C301,B25,'Machinery Log'!G2:G301)</f>
        <v>258.50000000000006</v>
      </c>
      <c r="E25" s="8">
        <f>SUMIF('Machinery Log'!C2:C301,B25,'Machinery Log'!L2:L301)</f>
        <v>2</v>
      </c>
      <c r="G25" s="7" t="s">
        <v>1768</v>
      </c>
      <c r="H25" s="8">
        <f>COUNTIF('Delivery Tracker'!B2:B401,G25)</f>
        <v>29</v>
      </c>
      <c r="I25" s="9">
        <f>IFERROR(AVERAGEIF('Delivery Tracker'!B2:B401,G25,'Delivery Tracker'!J2:J401),0)</f>
        <v>0.90689655172413808</v>
      </c>
      <c r="J25" s="11">
        <f>SUMIF('Delivery Tracker'!B2:B401,G25,'Delivery Tracker'!Q2:Q401)</f>
        <v>1867219</v>
      </c>
      <c r="K25" s="9">
        <f>IFERROR(COUNTIFS('Delivery Tracker'!B2:B401,G25,'Delivery Tracker'!O2:O401,"Completed")/H25*100,0)</f>
        <v>79.310344827586206</v>
      </c>
    </row>
    <row r="26" spans="2:11" ht="16.5" customHeight="1" x14ac:dyDescent="0.25">
      <c r="B26" s="3" t="s">
        <v>354</v>
      </c>
      <c r="C26" s="5">
        <f>AVERAGEIF('Machinery Log'!C2:C301,B26,'Machinery Log'!I2:I301)</f>
        <v>74.74323232323232</v>
      </c>
      <c r="D26" s="6">
        <f>SUMIF('Machinery Log'!C2:C301,B26,'Machinery Log'!G2:G301)</f>
        <v>188.39999999999998</v>
      </c>
      <c r="E26" s="4">
        <f>SUMIF('Machinery Log'!C2:C301,B26,'Machinery Log'!L2:L301)</f>
        <v>6</v>
      </c>
      <c r="G26" s="15" t="s">
        <v>1792</v>
      </c>
      <c r="H26" s="16">
        <f>COUNTIF('Delivery Tracker'!B2:B401,G26)</f>
        <v>27</v>
      </c>
      <c r="I26" s="17">
        <f>IFERROR(AVERAGEIF('Delivery Tracker'!B2:B401,G26,'Delivery Tracker'!J2:J401),0)</f>
        <v>0.53333333333333333</v>
      </c>
      <c r="J26" s="18">
        <f>SUMIF('Delivery Tracker'!B2:B401,G26,'Delivery Tracker'!Q2:Q401)</f>
        <v>832619</v>
      </c>
      <c r="K26" s="17">
        <f>IFERROR(COUNTIFS('Delivery Tracker'!B2:B401,G26,'Delivery Tracker'!O2:O401,"Completed")/H26*100,0)</f>
        <v>81.481481481481481</v>
      </c>
    </row>
    <row r="27" spans="2:11" ht="16.5" customHeight="1" x14ac:dyDescent="0.25">
      <c r="B27" s="7" t="s">
        <v>363</v>
      </c>
      <c r="C27" s="9">
        <f>AVERAGEIF('Machinery Log'!C2:C301,B27,'Machinery Log'!I2:I301)</f>
        <v>71.265761058864513</v>
      </c>
      <c r="D27" s="11">
        <f>SUMIF('Machinery Log'!C2:C301,B27,'Machinery Log'!G2:G301)</f>
        <v>207.90000000000003</v>
      </c>
      <c r="E27" s="8">
        <f>SUMIF('Machinery Log'!C2:C301,B27,'Machinery Log'!L2:L301)</f>
        <v>7</v>
      </c>
      <c r="G27" s="7" t="s">
        <v>1822</v>
      </c>
      <c r="H27" s="8">
        <f>COUNTIF('Delivery Tracker'!B2:B401,G27)</f>
        <v>20</v>
      </c>
      <c r="I27" s="9">
        <f>IFERROR(AVERAGEIF('Delivery Tracker'!B2:B401,G27,'Delivery Tracker'!J2:J401),0)</f>
        <v>0.23000000000000004</v>
      </c>
      <c r="J27" s="11">
        <f>SUMIF('Delivery Tracker'!B2:B401,G27,'Delivery Tracker'!Q2:Q401)</f>
        <v>420872</v>
      </c>
      <c r="K27" s="9">
        <f>IFERROR(COUNTIFS('Delivery Tracker'!B2:B401,G27,'Delivery Tracker'!O2:O401,"Completed")/H27*100,0)</f>
        <v>70</v>
      </c>
    </row>
    <row r="28" spans="2:11" ht="16.5" customHeight="1" x14ac:dyDescent="0.25">
      <c r="B28" s="3" t="s">
        <v>305</v>
      </c>
      <c r="C28" s="5">
        <f>AVERAGEIF('Machinery Log'!C2:C301,B28,'Machinery Log'!I2:I301)</f>
        <v>67.232811990876499</v>
      </c>
      <c r="D28" s="6">
        <f>SUMIF('Machinery Log'!C2:C301,B28,'Machinery Log'!G2:G301)</f>
        <v>207.4</v>
      </c>
      <c r="E28" s="4">
        <f>SUMIF('Machinery Log'!C2:C301,B28,'Machinery Log'!L2:L301)</f>
        <v>5</v>
      </c>
      <c r="G28" s="15" t="s">
        <v>1812</v>
      </c>
      <c r="H28" s="16">
        <f>COUNTIF('Delivery Tracker'!B2:B401,G28)</f>
        <v>24</v>
      </c>
      <c r="I28" s="17">
        <f>IFERROR(AVERAGEIF('Delivery Tracker'!B2:B401,G28,'Delivery Tracker'!J2:J401),0)</f>
        <v>0.31250000000000006</v>
      </c>
      <c r="J28" s="18">
        <f>SUMIF('Delivery Tracker'!B2:B401,G28,'Delivery Tracker'!Q2:Q401)</f>
        <v>628471</v>
      </c>
      <c r="K28" s="17">
        <f>IFERROR(COUNTIFS('Delivery Tracker'!B2:B401,G28,'Delivery Tracker'!O2:O401,"Completed")/H28*100,0)</f>
        <v>62.5</v>
      </c>
    </row>
    <row r="29" spans="2:11" ht="16.5" customHeight="1" x14ac:dyDescent="0.25">
      <c r="B29" s="7" t="s">
        <v>322</v>
      </c>
      <c r="C29" s="9">
        <f>AVERAGEIF('Machinery Log'!C2:C301,B29,'Machinery Log'!I2:I301)</f>
        <v>66.513986013986013</v>
      </c>
      <c r="D29" s="11">
        <f>SUMIF('Machinery Log'!C2:C301,B29,'Machinery Log'!G2:G301)</f>
        <v>179.39999999999998</v>
      </c>
      <c r="E29" s="8">
        <f>SUMIF('Machinery Log'!C2:C301,B29,'Machinery Log'!L2:L301)</f>
        <v>4</v>
      </c>
      <c r="G29" s="7" t="s">
        <v>1764</v>
      </c>
      <c r="H29" s="8">
        <f>COUNTIF('Delivery Tracker'!B2:B401,G29)</f>
        <v>27</v>
      </c>
      <c r="I29" s="9">
        <f>IFERROR(AVERAGEIF('Delivery Tracker'!B2:B401,G29,'Delivery Tracker'!J2:J401),0)</f>
        <v>0.28148148148148144</v>
      </c>
      <c r="J29" s="11">
        <f>SUMIF('Delivery Tracker'!B2:B401,G29,'Delivery Tracker'!Q2:Q401)</f>
        <v>745169</v>
      </c>
      <c r="K29" s="9">
        <f>IFERROR(COUNTIFS('Delivery Tracker'!B2:B401,G29,'Delivery Tracker'!O2:O401,"Completed")/H29*100,0)</f>
        <v>62.962962962962962</v>
      </c>
    </row>
    <row r="30" spans="2:11" ht="16.5" customHeight="1" x14ac:dyDescent="0.25">
      <c r="B30" s="3" t="s">
        <v>333</v>
      </c>
      <c r="C30" s="5">
        <f>AVERAGEIF('Machinery Log'!C2:C301,B30,'Machinery Log'!I2:I301)</f>
        <v>62.322971090212469</v>
      </c>
      <c r="D30" s="6">
        <f>SUMIF('Machinery Log'!C2:C301,B30,'Machinery Log'!G2:G301)</f>
        <v>183.59999999999997</v>
      </c>
      <c r="E30" s="4">
        <f>SUMIF('Machinery Log'!C2:C301,B30,'Machinery Log'!L2:L301)</f>
        <v>2</v>
      </c>
      <c r="G30" s="15" t="s">
        <v>1786</v>
      </c>
      <c r="H30" s="16">
        <f>COUNTIF('Delivery Tracker'!B2:B401,G30)</f>
        <v>34</v>
      </c>
      <c r="I30" s="17">
        <f>IFERROR(AVERAGEIF('Delivery Tracker'!B2:B401,G30,'Delivery Tracker'!J2:J401),0)</f>
        <v>0.86470588235294132</v>
      </c>
      <c r="J30" s="18">
        <f>SUMIF('Delivery Tracker'!B2:B401,G30,'Delivery Tracker'!Q2:Q401)</f>
        <v>2293436</v>
      </c>
      <c r="K30" s="17">
        <f>IFERROR(COUNTIFS('Delivery Tracker'!B2:B401,G30,'Delivery Tracker'!O2:O401,"Completed")/H30*100,0)</f>
        <v>67.64705882352942</v>
      </c>
    </row>
    <row r="31" spans="2:11" ht="16.5" customHeight="1" x14ac:dyDescent="0.25">
      <c r="B31" s="7" t="s">
        <v>361</v>
      </c>
      <c r="C31" s="9">
        <f>AVERAGEIF('Machinery Log'!C2:C301,B31,'Machinery Log'!I2:I301)</f>
        <v>69.535272075594648</v>
      </c>
      <c r="D31" s="11">
        <f>SUMIF('Machinery Log'!C2:C301,B31,'Machinery Log'!G2:G301)</f>
        <v>219</v>
      </c>
      <c r="E31" s="8">
        <f>SUMIF('Machinery Log'!C2:C301,B31,'Machinery Log'!L2:L301)</f>
        <v>3</v>
      </c>
      <c r="G31" s="7" t="s">
        <v>1825</v>
      </c>
      <c r="H31" s="8">
        <f>COUNTIF('Delivery Tracker'!B2:B401,G31)</f>
        <v>33</v>
      </c>
      <c r="I31" s="9">
        <f>IFERROR(AVERAGEIF('Delivery Tracker'!B2:B401,G31,'Delivery Tracker'!J2:J401),0)</f>
        <v>0.13636363636363635</v>
      </c>
      <c r="J31" s="11">
        <f>SUMIF('Delivery Tracker'!B2:B401,G31,'Delivery Tracker'!Q2:Q401)</f>
        <v>382545</v>
      </c>
      <c r="K31" s="9">
        <f>IFERROR(COUNTIFS('Delivery Tracker'!B2:B401,G31,'Delivery Tracker'!O2:O401,"Completed")/H31*100,0)</f>
        <v>63.636363636363633</v>
      </c>
    </row>
    <row r="32" spans="2:11" ht="16.5" customHeight="1" x14ac:dyDescent="0.25">
      <c r="B32" s="3" t="s">
        <v>340</v>
      </c>
      <c r="C32" s="5">
        <f>AVERAGEIF('Machinery Log'!C2:C301,B32,'Machinery Log'!I2:I301)</f>
        <v>67.683621933621922</v>
      </c>
      <c r="D32" s="6">
        <f>SUMIF('Machinery Log'!C2:C301,B32,'Machinery Log'!G2:G301)</f>
        <v>182.69999999999996</v>
      </c>
      <c r="E32" s="4">
        <f>SUMIF('Machinery Log'!C2:C301,B32,'Machinery Log'!L2:L301)</f>
        <v>3</v>
      </c>
      <c r="G32" s="15" t="s">
        <v>1805</v>
      </c>
      <c r="H32" s="16">
        <f>COUNTIF('Delivery Tracker'!B2:B401,G32)</f>
        <v>28</v>
      </c>
      <c r="I32" s="17">
        <f>IFERROR(AVERAGEIF('Delivery Tracker'!B2:B401,G32,'Delivery Tracker'!J2:J401),0)</f>
        <v>0.14285714285714285</v>
      </c>
      <c r="J32" s="18">
        <f>SUMIF('Delivery Tracker'!B2:B401,G32,'Delivery Tracker'!Q2:Q401)</f>
        <v>226961</v>
      </c>
      <c r="K32" s="17">
        <f>IFERROR(COUNTIFS('Delivery Tracker'!B2:B401,G32,'Delivery Tracker'!O2:O401,"Completed")/H32*100,0)</f>
        <v>89.285714285714292</v>
      </c>
    </row>
    <row r="33" spans="2:11" ht="16.5" customHeight="1" x14ac:dyDescent="0.25">
      <c r="B33" s="7" t="s">
        <v>329</v>
      </c>
      <c r="C33" s="9">
        <f>AVERAGEIF('Machinery Log'!C2:C301,B33,'Machinery Log'!I2:I301)</f>
        <v>67.828282828282823</v>
      </c>
      <c r="D33" s="11">
        <f>SUMIF('Machinery Log'!C2:C301,B33,'Machinery Log'!G2:G301)</f>
        <v>240.09999999999994</v>
      </c>
      <c r="E33" s="8">
        <f>SUMIF('Machinery Log'!C2:C301,B33,'Machinery Log'!L2:L301)</f>
        <v>6</v>
      </c>
      <c r="G33" s="7" t="s">
        <v>1753</v>
      </c>
      <c r="H33" s="8">
        <f>COUNTIF('Delivery Tracker'!B2:B401,G33)</f>
        <v>22</v>
      </c>
      <c r="I33" s="9">
        <f>IFERROR(AVERAGEIF('Delivery Tracker'!B2:B401,G33,'Delivery Tracker'!J2:J401),0)</f>
        <v>1.1090909090909091</v>
      </c>
      <c r="J33" s="11">
        <f>SUMIF('Delivery Tracker'!B2:B401,G33,'Delivery Tracker'!Q2:Q401)</f>
        <v>1993383</v>
      </c>
      <c r="K33" s="9">
        <f>IFERROR(COUNTIFS('Delivery Tracker'!B2:B401,G33,'Delivery Tracker'!O2:O401,"Completed")/H33*100,0)</f>
        <v>77.272727272727266</v>
      </c>
    </row>
    <row r="35" spans="2:11" ht="21.75" customHeight="1" x14ac:dyDescent="0.25">
      <c r="B35" s="116" t="s">
        <v>2350</v>
      </c>
      <c r="C35" s="116"/>
      <c r="D35" s="116"/>
      <c r="E35" s="116"/>
      <c r="F35" s="116"/>
      <c r="G35" s="116"/>
      <c r="H35" s="116"/>
      <c r="I35" s="116"/>
      <c r="J35" s="116"/>
      <c r="K35" s="116"/>
    </row>
    <row r="36" spans="2:11" s="147" customFormat="1" ht="19.5" customHeight="1" x14ac:dyDescent="0.25">
      <c r="B36" s="146" t="s">
        <v>2351</v>
      </c>
      <c r="C36" s="146"/>
      <c r="D36" s="146"/>
      <c r="E36" s="146"/>
      <c r="F36" s="146"/>
      <c r="G36" s="146"/>
      <c r="H36" s="146"/>
      <c r="I36" s="146"/>
      <c r="J36" s="146"/>
      <c r="K36" s="146"/>
    </row>
    <row r="37" spans="2:11" s="147" customFormat="1" ht="19.5" customHeight="1" x14ac:dyDescent="0.25">
      <c r="B37" s="146" t="s">
        <v>2352</v>
      </c>
      <c r="C37" s="146"/>
      <c r="D37" s="146"/>
      <c r="E37" s="146"/>
      <c r="F37" s="146"/>
      <c r="G37" s="146"/>
      <c r="H37" s="146"/>
      <c r="I37" s="146"/>
      <c r="J37" s="146"/>
      <c r="K37" s="146"/>
    </row>
    <row r="38" spans="2:11" s="147" customFormat="1" ht="19.5" customHeight="1" x14ac:dyDescent="0.25">
      <c r="B38" s="146" t="s">
        <v>2353</v>
      </c>
      <c r="C38" s="146"/>
      <c r="D38" s="146"/>
      <c r="E38" s="146"/>
      <c r="F38" s="146"/>
      <c r="G38" s="146"/>
      <c r="H38" s="146"/>
      <c r="I38" s="146"/>
      <c r="J38" s="146"/>
      <c r="K38" s="146"/>
    </row>
    <row r="39" spans="2:11" s="147" customFormat="1" ht="19.5" customHeight="1" x14ac:dyDescent="0.25">
      <c r="B39" s="146" t="s">
        <v>2354</v>
      </c>
      <c r="C39" s="146"/>
      <c r="D39" s="146"/>
      <c r="E39" s="146"/>
      <c r="F39" s="146"/>
      <c r="G39" s="146"/>
      <c r="H39" s="146"/>
      <c r="I39" s="146"/>
      <c r="J39" s="146"/>
      <c r="K39" s="146"/>
    </row>
    <row r="40" spans="2:11" s="147" customFormat="1" ht="19.5" customHeight="1" x14ac:dyDescent="0.25">
      <c r="B40" s="146" t="s">
        <v>2355</v>
      </c>
      <c r="C40" s="146"/>
      <c r="D40" s="146"/>
      <c r="E40" s="146"/>
      <c r="F40" s="146"/>
      <c r="G40" s="146"/>
      <c r="H40" s="146"/>
      <c r="I40" s="146"/>
      <c r="J40" s="146"/>
      <c r="K40" s="146"/>
    </row>
  </sheetData>
  <mergeCells count="30">
    <mergeCell ref="B1:P1"/>
    <mergeCell ref="B2:P2"/>
    <mergeCell ref="B4:C4"/>
    <mergeCell ref="D4:E4"/>
    <mergeCell ref="F4:G4"/>
    <mergeCell ref="H4:I4"/>
    <mergeCell ref="J4:K4"/>
    <mergeCell ref="L4:M4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B8:E8"/>
    <mergeCell ref="G8:K8"/>
    <mergeCell ref="B22:E22"/>
    <mergeCell ref="G22:K22"/>
    <mergeCell ref="B35:K35"/>
    <mergeCell ref="B36:K36"/>
    <mergeCell ref="B37:K37"/>
    <mergeCell ref="B38:K38"/>
    <mergeCell ref="B39:K39"/>
    <mergeCell ref="B40:K4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9"/>
  <sheetViews>
    <sheetView showGridLines="0" zoomScaleNormal="100" workbookViewId="0">
      <selection activeCell="C33" sqref="C33"/>
    </sheetView>
  </sheetViews>
  <sheetFormatPr defaultColWidth="8.7109375" defaultRowHeight="15" x14ac:dyDescent="0.25"/>
  <cols>
    <col min="1" max="1" width="2" customWidth="1"/>
    <col min="2" max="3" width="18" customWidth="1"/>
    <col min="4" max="11" width="14" customWidth="1"/>
  </cols>
  <sheetData>
    <row r="2" spans="2:11" ht="30" customHeight="1" x14ac:dyDescent="0.25">
      <c r="B2" s="143" t="s">
        <v>0</v>
      </c>
      <c r="C2" s="143"/>
      <c r="D2" s="143"/>
      <c r="E2" s="143"/>
      <c r="F2" s="143"/>
      <c r="G2" s="143"/>
      <c r="H2" s="143"/>
      <c r="I2" s="143"/>
      <c r="J2" s="143"/>
      <c r="K2" s="143"/>
    </row>
    <row r="3" spans="2:11" ht="30" customHeight="1" x14ac:dyDescent="0.25">
      <c r="B3" s="143"/>
      <c r="C3" s="143"/>
      <c r="D3" s="143"/>
      <c r="E3" s="143"/>
      <c r="F3" s="143"/>
      <c r="G3" s="143"/>
      <c r="H3" s="143"/>
      <c r="I3" s="143"/>
      <c r="J3" s="143"/>
      <c r="K3" s="143"/>
    </row>
    <row r="4" spans="2:11" ht="19.5" customHeight="1" x14ac:dyDescent="0.25"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2:11" ht="24.75" customHeight="1" x14ac:dyDescent="0.25">
      <c r="B5" s="144" t="s">
        <v>1</v>
      </c>
      <c r="C5" s="144"/>
      <c r="D5" s="144"/>
      <c r="E5" s="144"/>
      <c r="F5" s="144"/>
      <c r="G5" s="144"/>
      <c r="H5" s="144"/>
      <c r="I5" s="144"/>
      <c r="J5" s="144"/>
      <c r="K5" s="144"/>
    </row>
    <row r="6" spans="2:11" ht="19.5" customHeight="1" x14ac:dyDescent="0.25">
      <c r="B6" s="145" t="s">
        <v>2</v>
      </c>
      <c r="C6" s="145"/>
      <c r="D6" s="145"/>
      <c r="E6" s="145"/>
      <c r="F6" s="145"/>
      <c r="G6" s="145"/>
      <c r="H6" s="145"/>
      <c r="I6" s="145"/>
      <c r="J6" s="145"/>
      <c r="K6" s="145"/>
    </row>
    <row r="8" spans="2:11" ht="19.5" customHeight="1" x14ac:dyDescent="0.25">
      <c r="B8" s="141" t="s">
        <v>3</v>
      </c>
      <c r="C8" s="141"/>
      <c r="D8" s="140" t="s">
        <v>4</v>
      </c>
      <c r="E8" s="140"/>
      <c r="F8" s="140"/>
      <c r="G8" s="140"/>
      <c r="H8" s="140"/>
      <c r="I8" s="140"/>
      <c r="J8" s="140"/>
      <c r="K8" s="140"/>
    </row>
    <row r="9" spans="2:11" ht="19.5" customHeight="1" x14ac:dyDescent="0.25">
      <c r="B9" s="141" t="s">
        <v>5</v>
      </c>
      <c r="C9" s="141"/>
      <c r="D9" s="140" t="s">
        <v>6</v>
      </c>
      <c r="E9" s="140"/>
      <c r="F9" s="140"/>
      <c r="G9" s="140"/>
      <c r="H9" s="140"/>
      <c r="I9" s="140"/>
      <c r="J9" s="140"/>
      <c r="K9" s="140"/>
    </row>
    <row r="10" spans="2:11" ht="19.5" customHeight="1" x14ac:dyDescent="0.25">
      <c r="B10" s="141" t="s">
        <v>7</v>
      </c>
      <c r="C10" s="141"/>
      <c r="D10" s="140" t="s">
        <v>8</v>
      </c>
      <c r="E10" s="140"/>
      <c r="F10" s="140"/>
      <c r="G10" s="140"/>
      <c r="H10" s="140"/>
      <c r="I10" s="140"/>
      <c r="J10" s="140"/>
      <c r="K10" s="140"/>
    </row>
    <row r="11" spans="2:11" ht="19.5" customHeight="1" x14ac:dyDescent="0.25">
      <c r="B11" s="141" t="s">
        <v>9</v>
      </c>
      <c r="C11" s="141"/>
      <c r="D11" s="140" t="s">
        <v>10</v>
      </c>
      <c r="E11" s="140"/>
      <c r="F11" s="140"/>
      <c r="G11" s="140"/>
      <c r="H11" s="140"/>
      <c r="I11" s="140"/>
      <c r="J11" s="140"/>
      <c r="K11" s="140"/>
    </row>
    <row r="12" spans="2:11" ht="19.5" customHeight="1" x14ac:dyDescent="0.25">
      <c r="B12" s="141" t="s">
        <v>11</v>
      </c>
      <c r="C12" s="141"/>
      <c r="D12" s="140" t="s">
        <v>12</v>
      </c>
      <c r="E12" s="140"/>
      <c r="F12" s="140"/>
      <c r="G12" s="140"/>
      <c r="H12" s="140"/>
      <c r="I12" s="140"/>
      <c r="J12" s="140"/>
      <c r="K12" s="140"/>
    </row>
    <row r="14" spans="2:11" ht="21.75" customHeight="1" x14ac:dyDescent="0.25">
      <c r="B14" s="142" t="s">
        <v>13</v>
      </c>
      <c r="C14" s="142"/>
      <c r="D14" s="142"/>
      <c r="E14" s="142"/>
      <c r="F14" s="142"/>
      <c r="G14" s="142"/>
      <c r="H14" s="142"/>
      <c r="I14" s="142"/>
      <c r="J14" s="142"/>
      <c r="K14" s="142"/>
    </row>
    <row r="15" spans="2:11" ht="18" customHeight="1" x14ac:dyDescent="0.25">
      <c r="B15" s="140" t="s">
        <v>14</v>
      </c>
      <c r="C15" s="140"/>
      <c r="D15" s="140"/>
      <c r="E15" s="140"/>
      <c r="F15" s="140"/>
      <c r="G15" s="140"/>
      <c r="H15" s="140"/>
      <c r="I15" s="140"/>
      <c r="J15" s="140"/>
      <c r="K15" s="140"/>
    </row>
    <row r="16" spans="2:11" ht="18" customHeight="1" x14ac:dyDescent="0.25">
      <c r="B16" s="138" t="s">
        <v>15</v>
      </c>
      <c r="C16" s="138"/>
      <c r="D16" s="138"/>
      <c r="E16" s="138"/>
      <c r="F16" s="138"/>
      <c r="G16" s="138"/>
      <c r="H16" s="138"/>
      <c r="I16" s="138"/>
      <c r="J16" s="138"/>
      <c r="K16" s="138"/>
    </row>
    <row r="17" spans="2:11" ht="18" customHeight="1" x14ac:dyDescent="0.25">
      <c r="B17" s="140" t="s">
        <v>16</v>
      </c>
      <c r="C17" s="140"/>
      <c r="D17" s="140"/>
      <c r="E17" s="140"/>
      <c r="F17" s="140"/>
      <c r="G17" s="140"/>
      <c r="H17" s="140"/>
      <c r="I17" s="140"/>
      <c r="J17" s="140"/>
      <c r="K17" s="140"/>
    </row>
    <row r="18" spans="2:11" ht="18" customHeight="1" x14ac:dyDescent="0.25">
      <c r="B18" s="138" t="s">
        <v>17</v>
      </c>
      <c r="C18" s="138"/>
      <c r="D18" s="138"/>
      <c r="E18" s="138"/>
      <c r="F18" s="138"/>
      <c r="G18" s="138"/>
      <c r="H18" s="138"/>
      <c r="I18" s="138"/>
      <c r="J18" s="138"/>
      <c r="K18" s="138"/>
    </row>
    <row r="19" spans="2:11" ht="18" customHeight="1" x14ac:dyDescent="0.25">
      <c r="B19" s="140" t="s">
        <v>18</v>
      </c>
      <c r="C19" s="140"/>
      <c r="D19" s="140"/>
      <c r="E19" s="140"/>
      <c r="F19" s="140"/>
      <c r="G19" s="140"/>
      <c r="H19" s="140"/>
      <c r="I19" s="140"/>
      <c r="J19" s="140"/>
      <c r="K19" s="140"/>
    </row>
    <row r="20" spans="2:11" ht="18" customHeight="1" x14ac:dyDescent="0.25">
      <c r="B20" s="138" t="s">
        <v>19</v>
      </c>
      <c r="C20" s="138"/>
      <c r="D20" s="138"/>
      <c r="E20" s="138"/>
      <c r="F20" s="138"/>
      <c r="G20" s="138"/>
      <c r="H20" s="138"/>
      <c r="I20" s="138"/>
      <c r="J20" s="138"/>
      <c r="K20" s="138"/>
    </row>
    <row r="21" spans="2:11" ht="18" customHeight="1" x14ac:dyDescent="0.25">
      <c r="B21" s="140" t="s">
        <v>20</v>
      </c>
      <c r="C21" s="140"/>
      <c r="D21" s="140"/>
      <c r="E21" s="140"/>
      <c r="F21" s="140"/>
      <c r="G21" s="140"/>
      <c r="H21" s="140"/>
      <c r="I21" s="140"/>
      <c r="J21" s="140"/>
      <c r="K21" s="140"/>
    </row>
    <row r="22" spans="2:11" ht="18" customHeight="1" x14ac:dyDescent="0.25">
      <c r="B22" s="138" t="s">
        <v>21</v>
      </c>
      <c r="C22" s="138"/>
      <c r="D22" s="138"/>
      <c r="E22" s="138"/>
      <c r="F22" s="138"/>
      <c r="G22" s="138"/>
      <c r="H22" s="138"/>
      <c r="I22" s="138"/>
      <c r="J22" s="138"/>
      <c r="K22" s="138"/>
    </row>
    <row r="24" spans="2:11" ht="21.75" customHeight="1" x14ac:dyDescent="0.25">
      <c r="B24" s="139" t="s">
        <v>22</v>
      </c>
      <c r="C24" s="139"/>
      <c r="D24" s="139"/>
      <c r="E24" s="139"/>
      <c r="F24" s="139"/>
      <c r="G24" s="139"/>
      <c r="H24" s="139"/>
      <c r="I24" s="139"/>
      <c r="J24" s="139"/>
      <c r="K24" s="139"/>
    </row>
    <row r="25" spans="2:11" ht="18" customHeight="1" x14ac:dyDescent="0.25">
      <c r="B25" s="136" t="s">
        <v>23</v>
      </c>
      <c r="C25" s="136"/>
      <c r="D25" s="137" t="s">
        <v>24</v>
      </c>
      <c r="E25" s="137"/>
      <c r="F25" s="137"/>
      <c r="G25" s="137"/>
      <c r="H25" s="137"/>
      <c r="I25" s="137"/>
      <c r="J25" s="137"/>
      <c r="K25" s="137"/>
    </row>
    <row r="26" spans="2:11" ht="18" customHeight="1" x14ac:dyDescent="0.25">
      <c r="B26" s="136" t="s">
        <v>25</v>
      </c>
      <c r="C26" s="136"/>
      <c r="D26" s="137" t="s">
        <v>26</v>
      </c>
      <c r="E26" s="137"/>
      <c r="F26" s="137"/>
      <c r="G26" s="137"/>
      <c r="H26" s="137"/>
      <c r="I26" s="137"/>
      <c r="J26" s="137"/>
      <c r="K26" s="137"/>
    </row>
    <row r="27" spans="2:11" ht="18" customHeight="1" x14ac:dyDescent="0.25">
      <c r="B27" s="136" t="s">
        <v>27</v>
      </c>
      <c r="C27" s="136"/>
      <c r="D27" s="137" t="s">
        <v>28</v>
      </c>
      <c r="E27" s="137"/>
      <c r="F27" s="137"/>
      <c r="G27" s="137"/>
      <c r="H27" s="137"/>
      <c r="I27" s="137"/>
      <c r="J27" s="137"/>
      <c r="K27" s="137"/>
    </row>
    <row r="28" spans="2:11" ht="18" customHeight="1" x14ac:dyDescent="0.25">
      <c r="B28" s="136" t="s">
        <v>29</v>
      </c>
      <c r="C28" s="136"/>
      <c r="D28" s="137" t="s">
        <v>30</v>
      </c>
      <c r="E28" s="137"/>
      <c r="F28" s="137"/>
      <c r="G28" s="137"/>
      <c r="H28" s="137"/>
      <c r="I28" s="137"/>
      <c r="J28" s="137"/>
      <c r="K28" s="137"/>
    </row>
    <row r="29" spans="2:11" ht="18" customHeight="1" x14ac:dyDescent="0.25">
      <c r="B29" s="136" t="s">
        <v>31</v>
      </c>
      <c r="C29" s="136"/>
      <c r="D29" s="137" t="s">
        <v>32</v>
      </c>
      <c r="E29" s="137"/>
      <c r="F29" s="137"/>
      <c r="G29" s="137"/>
      <c r="H29" s="137"/>
      <c r="I29" s="137"/>
      <c r="J29" s="137"/>
      <c r="K29" s="137"/>
    </row>
  </sheetData>
  <mergeCells count="33">
    <mergeCell ref="B2:K4"/>
    <mergeCell ref="B5:K5"/>
    <mergeCell ref="B6:K6"/>
    <mergeCell ref="B8:C8"/>
    <mergeCell ref="D8:K8"/>
    <mergeCell ref="B9:C9"/>
    <mergeCell ref="D9:K9"/>
    <mergeCell ref="B10:C10"/>
    <mergeCell ref="D10:K10"/>
    <mergeCell ref="B11:C11"/>
    <mergeCell ref="D11:K11"/>
    <mergeCell ref="B12:C12"/>
    <mergeCell ref="D12:K12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4:K24"/>
    <mergeCell ref="B25:C25"/>
    <mergeCell ref="D25:K25"/>
    <mergeCell ref="B26:C26"/>
    <mergeCell ref="D26:K26"/>
    <mergeCell ref="B27:C27"/>
    <mergeCell ref="D27:K27"/>
    <mergeCell ref="B28:C28"/>
    <mergeCell ref="D28:K28"/>
    <mergeCell ref="B29:C29"/>
    <mergeCell ref="D29:K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Fleet Data</vt:lpstr>
      <vt:lpstr>Machinery Log</vt:lpstr>
      <vt:lpstr>Purchase Orders</vt:lpstr>
      <vt:lpstr>Delivery Tracker</vt:lpstr>
      <vt:lpstr>Charts &amp; Visuals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kiptoo kipkorir</cp:lastModifiedBy>
  <cp:revision>1</cp:revision>
  <dcterms:created xsi:type="dcterms:W3CDTF">2026-05-31T04:56:36Z</dcterms:created>
  <dcterms:modified xsi:type="dcterms:W3CDTF">2026-06-01T14:52:11Z</dcterms:modified>
  <dc:language>en-US</dc:language>
</cp:coreProperties>
</file>